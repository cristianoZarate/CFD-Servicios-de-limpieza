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erna\Downloads\"/>
    </mc:Choice>
  </mc:AlternateContent>
  <xr:revisionPtr revIDLastSave="0" documentId="13_ncr:1_{BB19B7F8-499B-4759-AF23-116B495EEE9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la de Riesgo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4" i="1" l="1"/>
  <c r="G23" i="1"/>
  <c r="G22" i="1"/>
  <c r="G21" i="1"/>
  <c r="G20" i="1"/>
  <c r="G19" i="1"/>
  <c r="G18" i="1"/>
  <c r="G17" i="1"/>
  <c r="G16" i="1"/>
  <c r="G15" i="1"/>
  <c r="G14" i="1"/>
  <c r="G13" i="1"/>
  <c r="G12" i="1"/>
</calcChain>
</file>

<file path=xl/sharedStrings.xml><?xml version="1.0" encoding="utf-8"?>
<sst xmlns="http://schemas.openxmlformats.org/spreadsheetml/2006/main" count="149" uniqueCount="98">
  <si>
    <t>PLANILLA DE RIESGOS — PROYECTO CFD SERVICIOS</t>
  </si>
  <si>
    <t>Agenda Online de Servicios de Limpieza  |  Fernando Zárate — Gabriel Avendaño  |  DUOC UC 2026</t>
  </si>
  <si>
    <t>Escala probabilidad</t>
  </si>
  <si>
    <t>Escala impacto</t>
  </si>
  <si>
    <t>Nivel de riesgo = Probabilidad × Impacto</t>
  </si>
  <si>
    <t>1 — Muy baja</t>
  </si>
  <si>
    <t>&lt;10%</t>
  </si>
  <si>
    <t>1 — Insignificante</t>
  </si>
  <si>
    <t>Sin efecto real</t>
  </si>
  <si>
    <t>1–4</t>
  </si>
  <si>
    <t>BAJO</t>
  </si>
  <si>
    <t>2 — Baja</t>
  </si>
  <si>
    <t>10–30%</t>
  </si>
  <si>
    <t>2 — Menor</t>
  </si>
  <si>
    <t>Retraso &lt; 1 semana</t>
  </si>
  <si>
    <t>5–9</t>
  </si>
  <si>
    <t>MEDIO</t>
  </si>
  <si>
    <t>3 — Media</t>
  </si>
  <si>
    <t>30–50%</t>
  </si>
  <si>
    <t>3 — Moderado</t>
  </si>
  <si>
    <t>Retraso 1–2 semanas</t>
  </si>
  <si>
    <t>10–14</t>
  </si>
  <si>
    <t>ALTO</t>
  </si>
  <si>
    <t>4 — Alta</t>
  </si>
  <si>
    <t>50–70%</t>
  </si>
  <si>
    <t>4 — Mayor</t>
  </si>
  <si>
    <t>Retraso &gt; 2 semanas</t>
  </si>
  <si>
    <t>15–25</t>
  </si>
  <si>
    <t>CRÍTICO</t>
  </si>
  <si>
    <t>5 — Muy alta</t>
  </si>
  <si>
    <t>&gt;70%</t>
  </si>
  <si>
    <t>5 — Crítico</t>
  </si>
  <si>
    <t>Proyecto en riesgo</t>
  </si>
  <si>
    <t>N°</t>
  </si>
  <si>
    <t>Categoría</t>
  </si>
  <si>
    <t>Descripción del riesgo</t>
  </si>
  <si>
    <t>Causa probable</t>
  </si>
  <si>
    <t>Probabilidad
(1–5)</t>
  </si>
  <si>
    <t>Impacto
(1–5)</t>
  </si>
  <si>
    <t>Nivel
(P×I)</t>
  </si>
  <si>
    <t>Clasificación</t>
  </si>
  <si>
    <t>Estrategia</t>
  </si>
  <si>
    <t>Plan de mitigación</t>
  </si>
  <si>
    <t>Responsable</t>
  </si>
  <si>
    <t>Estado</t>
  </si>
  <si>
    <t>Técnico</t>
  </si>
  <si>
    <t>Incompatibilidad entre Spring Boot y versión de MySQL en producción</t>
  </si>
  <si>
    <t>Diferencia entre entorno local (XAMPP) y servidor cloud</t>
  </si>
  <si>
    <t>Mitigar</t>
  </si>
  <si>
    <t>Documentar versiones exactas usadas. Probar deploy en entorno cloud antes de la entrega final.</t>
  </si>
  <si>
    <t>Gabriel Avendaño</t>
  </si>
  <si>
    <t>Activo</t>
  </si>
  <si>
    <t>Pérdida de código por mal uso de Git (conflictos o sobrescritura)</t>
  </si>
  <si>
    <t>Trabajo simultáneo sin convención de ramas definida</t>
  </si>
  <si>
    <t>Definir flujo Git (rama main protegida + rama develop). Hacer commits frecuentes con mensajes descriptivos.</t>
  </si>
  <si>
    <t>Fernando Zárate / Gabriel Avendaño</t>
  </si>
  <si>
    <t>Errores en la autenticación JWT que bloqueen el acceso al dashboard</t>
  </si>
  <si>
    <t>Configuración incorrecta de Spring Security o expiración de tokens</t>
  </si>
  <si>
    <t>Implementar pruebas de autenticación con Postman desde el inicio. Revisar configuración de Spring Security en cada sprint.</t>
  </si>
  <si>
    <t>El sistema de agenda no valida correctamente la disponibilidad horaria</t>
  </si>
  <si>
    <t>Lógica de negocio no contempla casos borde (solapamiento, horarios)</t>
  </si>
  <si>
    <t>Definir casos de uso detallados antes de implementar. Aplicar pruebas con Vitest para el módulo de agenda.</t>
  </si>
  <si>
    <t>Gabriel Avendaño / Fernando Zárate</t>
  </si>
  <si>
    <t>Proyecto</t>
  </si>
  <si>
    <t>Retraso en la entrega de alguna fase por subestimación del tiempo</t>
  </si>
  <si>
    <t>Complejidad técnica mayor a la estimada en la planificación</t>
  </si>
  <si>
    <t>Revisar avance semanalmente con la carta Gantt. Priorizar funcionalidades core si hay retraso.</t>
  </si>
  <si>
    <t>Fernando Zárate (Líder)</t>
  </si>
  <si>
    <t>Ausencia de un integrante por problemas personales o académicos</t>
  </si>
  <si>
    <t>Enfermedad, problemas laborales u otras evaluaciones coincidentes</t>
  </si>
  <si>
    <t>Aceptar</t>
  </si>
  <si>
    <t>Documentar el trabajo individual. Ambos integrantes deben conocer el código del otro.</t>
  </si>
  <si>
    <t>Cambio de requerimientos por parte del cliente durante el desarrollo</t>
  </si>
  <si>
    <t>El cliente solicita nuevas funciones no contempladas inicialmente</t>
  </si>
  <si>
    <t>Validar y congelar requerimientos en la Fase 1. Documentar cualquier cambio con acta firmada por el cliente.</t>
  </si>
  <si>
    <t>Cliente</t>
  </si>
  <si>
    <t>El cliente no entrega accesos o información necesaria a tiempo</t>
  </si>
  <si>
    <t>Demora en entregar credenciales del hosting o listado de servicios</t>
  </si>
  <si>
    <t>Establecer fechas límite de entrega de información desde el inicio. Tener alternativa con datos de prueba.</t>
  </si>
  <si>
    <t>El cliente no aprueba el prototipo en la revisión de Fase 2</t>
  </si>
  <si>
    <t>Diferencia entre la visión del cliente y el diseño propuesto</t>
  </si>
  <si>
    <t>Presentar wireframes al cliente antes de desarrollar. Incorporar feedback en Figma antes de codificar.</t>
  </si>
  <si>
    <t>Fernando Zárate</t>
  </si>
  <si>
    <t>Calidad</t>
  </si>
  <si>
    <t>Pruebas insuficientes dejan errores críticos en producción</t>
  </si>
  <si>
    <t>Poco tiempo asignado a la fase de pruebas por retrasos anteriores</t>
  </si>
  <si>
    <t>Reservar al menos 2 semanas para pruebas (S14-S15). Usar Vitest y Postman. No comprimir esta fase.</t>
  </si>
  <si>
    <t>Fernando Zárate (QA)</t>
  </si>
  <si>
    <t>Interfaz con problemas de usabilidad en dispositivos móviles</t>
  </si>
  <si>
    <t>Bootstrap CDN no adaptado correctamente para pantallas pequeñas</t>
  </si>
  <si>
    <t>Probar en distintos tamaños de pantalla durante el desarrollo. Aplicar diseño responsive desde el inicio.</t>
  </si>
  <si>
    <t>Infraestructura</t>
  </si>
  <si>
    <t>El hosting del cliente no soporta la nueva arquitectura</t>
  </si>
  <si>
    <t>WebHostChile usa hosting compartido PHP, incompatible con Java</t>
  </si>
  <si>
    <t>Desplegar en plataforma cloud independiente (por definir). Solo redirigir el dominio del cliente.</t>
  </si>
  <si>
    <t>Caída del servicio cloud durante la presentación final</t>
  </si>
  <si>
    <t>Inestabilidad de la plataforma de hosting elegida</t>
  </si>
  <si>
    <t>Tener backup local funcional para demo. Hacer deploy con anticipación y verificar estabilidad.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</si>
</sst>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9"/>
      <color rgb="FFFFFFFF"/>
      <name val="Arial"/>
      <charset val="1"/>
    </font>
    <font>
      <b/>
      <sz val="9"/>
      <color rgb="FFFFFFFF"/>
      <name val="Arial"/>
      <charset val="1"/>
    </font>
    <font>
      <sz val="8"/>
      <color rgb="FF000000"/>
      <name val="Arial"/>
      <charset val="1"/>
    </font>
    <font>
      <b/>
      <sz val="8"/>
      <color rgb="FF70AD47"/>
      <name val="Arial"/>
      <charset val="1"/>
    </font>
    <font>
      <b/>
      <sz val="8"/>
      <color rgb="FFFFD700"/>
      <name val="Arial"/>
      <charset val="1"/>
    </font>
    <font>
      <b/>
      <sz val="8"/>
      <color rgb="FFFF8C00"/>
      <name val="Arial"/>
      <charset val="1"/>
    </font>
    <font>
      <b/>
      <sz val="8"/>
      <color rgb="FFFF0000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FF8C00"/>
      <name val="Arial"/>
      <charset val="1"/>
    </font>
    <font>
      <b/>
      <sz val="9"/>
      <color rgb="FFFF0000"/>
      <name val="Arial"/>
      <charset val="1"/>
    </font>
    <font>
      <b/>
      <sz val="9"/>
      <color rgb="FFFFD700"/>
      <name val="Arial"/>
      <charset val="1"/>
    </font>
    <font>
      <b/>
      <sz val="9"/>
      <color rgb="FF70AD47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CCFFCC"/>
        <bgColor rgb="FFCCFFFF"/>
      </patternFill>
    </fill>
    <fill>
      <patternFill patternType="solid">
        <fgColor rgb="FFFFFACC"/>
        <bgColor rgb="FFF2F2F2"/>
      </patternFill>
    </fill>
    <fill>
      <patternFill patternType="solid">
        <fgColor rgb="FFFFE5CC"/>
        <bgColor rgb="FFFFFACC"/>
      </patternFill>
    </fill>
    <fill>
      <patternFill patternType="solid">
        <fgColor rgb="FFFFCCCC"/>
        <bgColor rgb="FFFFE5CC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8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FFFFF"/>
          <bgColor rgb="FFF2F2F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FFFFF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FFFFF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FFFFF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FFFFF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8C00"/>
        <name val="Arial"/>
        <charset val="1"/>
        <scheme val="none"/>
      </font>
      <fill>
        <patternFill patternType="solid">
          <fgColor rgb="FFFFFACC"/>
          <bgColor rgb="FFFFE5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8C00"/>
        <name val="Arial"/>
        <charset val="1"/>
        <scheme val="none"/>
      </font>
      <fill>
        <patternFill patternType="solid">
          <fgColor rgb="FFFFFACC"/>
          <bgColor rgb="FFFFE5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FFFFF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FFFFF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FFFFF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FFFFF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FFFFF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FFFFF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"/>
        <scheme val="none"/>
      </font>
      <fill>
        <patternFill patternType="solid">
          <fgColor rgb="FF003366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A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5CC"/>
      <rgbColor rgb="FF99CCFF"/>
      <rgbColor rgb="FFFF99CC"/>
      <rgbColor rgb="FFCC99FF"/>
      <rgbColor rgb="FFFFCCCC"/>
      <rgbColor rgb="FF2E75B6"/>
      <rgbColor rgb="FF33CCCC"/>
      <rgbColor rgb="FF99CC00"/>
      <rgbColor rgb="FFFFD700"/>
      <rgbColor rgb="FFFF8C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867F1F-87A2-4D0C-83B0-0F7E1DB6102F}" name="Tabla1" displayName="Tabla1" ref="A11:L24" insertRowShift="1" totalsRowShown="0" headerRowDxfId="13" dataDxfId="0" headerRowBorderDxfId="15" tableBorderDxfId="16" totalsRowBorderDxfId="14">
  <autoFilter ref="A11:L24" xr:uid="{FC867F1F-87A2-4D0C-83B0-0F7E1DB6102F}"/>
  <tableColumns count="12">
    <tableColumn id="1" xr3:uid="{7B77573A-F0D3-4EA1-9D27-279D7060AB2C}" name="N°" dataDxfId="12"/>
    <tableColumn id="2" xr3:uid="{641EA11A-23C2-4D4E-B267-F33AF70FA659}" name="Categoría" dataDxfId="11"/>
    <tableColumn id="3" xr3:uid="{3B51322F-B633-4804-AEBA-A6F195F4E040}" name="Descripción del riesgo" dataDxfId="10"/>
    <tableColumn id="4" xr3:uid="{3FF24F8D-D4F4-42C4-B1F6-D3DBB41950BE}" name="Causa probable" dataDxfId="9"/>
    <tableColumn id="5" xr3:uid="{B369707F-DC40-40F6-BDF7-956A3EAB7B79}" name="Probabilidad_x000a_(1–5)" dataDxfId="8"/>
    <tableColumn id="6" xr3:uid="{C1C9CF07-03E7-4108-85A4-0BF2EF00222D}" name="Impacto_x000a_(1–5)" dataDxfId="7"/>
    <tableColumn id="7" xr3:uid="{A8EF6BDB-A2CA-4464-8418-F2731849FD5D}" name="Nivel_x000a_(P×I)" dataDxfId="6">
      <calculatedColumnFormula>E12*F12</calculatedColumnFormula>
    </tableColumn>
    <tableColumn id="8" xr3:uid="{0FA2D72C-4F50-4643-BE59-37FFE3814A7E}" name="Clasificación" dataDxfId="5"/>
    <tableColumn id="9" xr3:uid="{946FAD12-E92F-41ED-8793-49E0651CFECB}" name="Estrategia" dataDxfId="4"/>
    <tableColumn id="10" xr3:uid="{A3088AA9-16B2-4641-9375-66308D134D67}" name="Plan de mitigación" dataDxfId="3"/>
    <tableColumn id="11" xr3:uid="{72D2B8F9-7101-4399-A2D3-AE8AE53DCBBD}" name="Responsable" dataDxfId="2"/>
    <tableColumn id="12" xr3:uid="{D3CC57F3-8AC3-499A-8BA4-85CF8CFE01E5}" name="Estad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topLeftCell="A16" zoomScaleNormal="100" workbookViewId="0">
      <selection activeCell="I18" sqref="I18"/>
    </sheetView>
  </sheetViews>
  <sheetFormatPr baseColWidth="10" defaultColWidth="8.6640625" defaultRowHeight="14.4" x14ac:dyDescent="0.3"/>
  <cols>
    <col min="1" max="1" width="4.77734375" customWidth="1"/>
    <col min="2" max="2" width="14" customWidth="1"/>
    <col min="3" max="3" width="32" customWidth="1"/>
    <col min="4" max="4" width="26" customWidth="1"/>
    <col min="5" max="5" width="11" customWidth="1"/>
    <col min="6" max="7" width="9" customWidth="1"/>
    <col min="8" max="8" width="12.88671875" customWidth="1"/>
    <col min="9" max="9" width="12" customWidth="1"/>
    <col min="10" max="10" width="34" customWidth="1"/>
    <col min="11" max="11" width="16" customWidth="1"/>
    <col min="12" max="12" width="11" customWidth="1"/>
  </cols>
  <sheetData>
    <row r="1" spans="1:12" ht="27.75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15.75" customHeight="1" x14ac:dyDescent="0.3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6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3">
      <c r="A4" s="9" t="s">
        <v>2</v>
      </c>
      <c r="B4" s="9"/>
      <c r="C4" s="9"/>
      <c r="E4" s="9" t="s">
        <v>3</v>
      </c>
      <c r="F4" s="9"/>
      <c r="G4" s="9"/>
      <c r="I4" s="9" t="s">
        <v>4</v>
      </c>
      <c r="J4" s="9"/>
      <c r="K4" s="9"/>
      <c r="L4" s="9"/>
    </row>
    <row r="5" spans="1:12" ht="21.6" customHeight="1" x14ac:dyDescent="0.3">
      <c r="A5" s="8" t="s">
        <v>5</v>
      </c>
      <c r="B5" s="8"/>
      <c r="C5" s="13" t="s">
        <v>6</v>
      </c>
      <c r="E5" s="8" t="s">
        <v>7</v>
      </c>
      <c r="F5" s="8"/>
      <c r="G5" s="13" t="s">
        <v>8</v>
      </c>
      <c r="I5" s="8" t="s">
        <v>9</v>
      </c>
      <c r="J5" s="8"/>
      <c r="K5" s="7" t="s">
        <v>10</v>
      </c>
      <c r="L5" s="7"/>
    </row>
    <row r="6" spans="1:12" ht="19.8" customHeight="1" x14ac:dyDescent="0.3">
      <c r="A6" s="6" t="s">
        <v>11</v>
      </c>
      <c r="B6" s="6"/>
      <c r="C6" s="14" t="s">
        <v>12</v>
      </c>
      <c r="E6" s="6" t="s">
        <v>13</v>
      </c>
      <c r="F6" s="6"/>
      <c r="G6" s="14" t="s">
        <v>14</v>
      </c>
      <c r="I6" s="6" t="s">
        <v>15</v>
      </c>
      <c r="J6" s="6"/>
      <c r="K6" s="5" t="s">
        <v>16</v>
      </c>
      <c r="L6" s="5"/>
    </row>
    <row r="7" spans="1:12" ht="27" customHeight="1" x14ac:dyDescent="0.3">
      <c r="A7" s="4" t="s">
        <v>17</v>
      </c>
      <c r="B7" s="4"/>
      <c r="C7" s="15" t="s">
        <v>18</v>
      </c>
      <c r="E7" s="4" t="s">
        <v>19</v>
      </c>
      <c r="F7" s="4"/>
      <c r="G7" s="15" t="s">
        <v>20</v>
      </c>
      <c r="I7" s="4" t="s">
        <v>21</v>
      </c>
      <c r="J7" s="4"/>
      <c r="K7" s="3" t="s">
        <v>22</v>
      </c>
      <c r="L7" s="3"/>
    </row>
    <row r="8" spans="1:12" ht="34.200000000000003" customHeight="1" x14ac:dyDescent="0.3">
      <c r="A8" s="2" t="s">
        <v>23</v>
      </c>
      <c r="B8" s="2"/>
      <c r="C8" s="16" t="s">
        <v>24</v>
      </c>
      <c r="E8" s="2" t="s">
        <v>25</v>
      </c>
      <c r="F8" s="2"/>
      <c r="G8" s="16" t="s">
        <v>26</v>
      </c>
      <c r="I8" s="2" t="s">
        <v>27</v>
      </c>
      <c r="J8" s="2"/>
      <c r="K8" s="1" t="s">
        <v>28</v>
      </c>
      <c r="L8" s="1"/>
    </row>
    <row r="9" spans="1:12" ht="26.4" customHeight="1" x14ac:dyDescent="0.3">
      <c r="A9" s="2" t="s">
        <v>29</v>
      </c>
      <c r="B9" s="2"/>
      <c r="C9" s="16" t="s">
        <v>30</v>
      </c>
      <c r="E9" s="2" t="s">
        <v>31</v>
      </c>
      <c r="F9" s="2"/>
      <c r="G9" s="16" t="s">
        <v>32</v>
      </c>
    </row>
    <row r="10" spans="1:12" ht="26.4" customHeight="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31.5" customHeight="1" x14ac:dyDescent="0.3">
      <c r="A11" s="27" t="s">
        <v>33</v>
      </c>
      <c r="B11" s="28" t="s">
        <v>34</v>
      </c>
      <c r="C11" s="28" t="s">
        <v>35</v>
      </c>
      <c r="D11" s="28" t="s">
        <v>36</v>
      </c>
      <c r="E11" s="28" t="s">
        <v>37</v>
      </c>
      <c r="F11" s="28" t="s">
        <v>38</v>
      </c>
      <c r="G11" s="28" t="s">
        <v>39</v>
      </c>
      <c r="H11" s="28" t="s">
        <v>40</v>
      </c>
      <c r="I11" s="28" t="s">
        <v>41</v>
      </c>
      <c r="J11" s="28" t="s">
        <v>42</v>
      </c>
      <c r="K11" s="28" t="s">
        <v>43</v>
      </c>
      <c r="L11" s="29" t="s">
        <v>44</v>
      </c>
    </row>
    <row r="12" spans="1:12" ht="48" customHeight="1" x14ac:dyDescent="0.3">
      <c r="A12" s="17">
        <v>1</v>
      </c>
      <c r="B12" s="18" t="s">
        <v>45</v>
      </c>
      <c r="C12" s="19" t="s">
        <v>46</v>
      </c>
      <c r="D12" s="19" t="s">
        <v>47</v>
      </c>
      <c r="E12" s="18">
        <v>3</v>
      </c>
      <c r="F12" s="18">
        <v>4</v>
      </c>
      <c r="G12" s="20">
        <f t="shared" ref="G12:G24" si="0">E12*F12</f>
        <v>12</v>
      </c>
      <c r="H12" s="20" t="s">
        <v>22</v>
      </c>
      <c r="I12" s="18" t="s">
        <v>48</v>
      </c>
      <c r="J12" s="19" t="s">
        <v>49</v>
      </c>
      <c r="K12" s="18" t="s">
        <v>50</v>
      </c>
      <c r="L12" s="18" t="s">
        <v>51</v>
      </c>
    </row>
    <row r="13" spans="1:12" ht="48" customHeight="1" x14ac:dyDescent="0.3">
      <c r="A13" s="21">
        <v>2</v>
      </c>
      <c r="B13" s="22" t="s">
        <v>45</v>
      </c>
      <c r="C13" s="23" t="s">
        <v>52</v>
      </c>
      <c r="D13" s="23" t="s">
        <v>53</v>
      </c>
      <c r="E13" s="22">
        <v>3</v>
      </c>
      <c r="F13" s="22">
        <v>5</v>
      </c>
      <c r="G13" s="24">
        <f t="shared" si="0"/>
        <v>15</v>
      </c>
      <c r="H13" s="24" t="s">
        <v>28</v>
      </c>
      <c r="I13" s="22" t="s">
        <v>48</v>
      </c>
      <c r="J13" s="23" t="s">
        <v>54</v>
      </c>
      <c r="K13" s="22" t="s">
        <v>55</v>
      </c>
      <c r="L13" s="22" t="s">
        <v>51</v>
      </c>
    </row>
    <row r="14" spans="1:12" ht="48" customHeight="1" x14ac:dyDescent="0.3">
      <c r="A14" s="17">
        <v>3</v>
      </c>
      <c r="B14" s="18" t="s">
        <v>45</v>
      </c>
      <c r="C14" s="19" t="s">
        <v>56</v>
      </c>
      <c r="D14" s="19" t="s">
        <v>57</v>
      </c>
      <c r="E14" s="18">
        <v>2</v>
      </c>
      <c r="F14" s="18">
        <v>4</v>
      </c>
      <c r="G14" s="25">
        <f t="shared" si="0"/>
        <v>8</v>
      </c>
      <c r="H14" s="25" t="s">
        <v>16</v>
      </c>
      <c r="I14" s="18" t="s">
        <v>48</v>
      </c>
      <c r="J14" s="19" t="s">
        <v>58</v>
      </c>
      <c r="K14" s="18" t="s">
        <v>50</v>
      </c>
      <c r="L14" s="18" t="s">
        <v>51</v>
      </c>
    </row>
    <row r="15" spans="1:12" ht="48" customHeight="1" x14ac:dyDescent="0.3">
      <c r="A15" s="21">
        <v>4</v>
      </c>
      <c r="B15" s="22" t="s">
        <v>45</v>
      </c>
      <c r="C15" s="23" t="s">
        <v>59</v>
      </c>
      <c r="D15" s="23" t="s">
        <v>60</v>
      </c>
      <c r="E15" s="22">
        <v>3</v>
      </c>
      <c r="F15" s="22">
        <v>4</v>
      </c>
      <c r="G15" s="20">
        <f t="shared" si="0"/>
        <v>12</v>
      </c>
      <c r="H15" s="20" t="s">
        <v>22</v>
      </c>
      <c r="I15" s="22" t="s">
        <v>48</v>
      </c>
      <c r="J15" s="23" t="s">
        <v>61</v>
      </c>
      <c r="K15" s="22" t="s">
        <v>62</v>
      </c>
      <c r="L15" s="22" t="s">
        <v>51</v>
      </c>
    </row>
    <row r="16" spans="1:12" ht="48" customHeight="1" x14ac:dyDescent="0.3">
      <c r="A16" s="17">
        <v>5</v>
      </c>
      <c r="B16" s="18" t="s">
        <v>63</v>
      </c>
      <c r="C16" s="19" t="s">
        <v>64</v>
      </c>
      <c r="D16" s="19" t="s">
        <v>65</v>
      </c>
      <c r="E16" s="18">
        <v>4</v>
      </c>
      <c r="F16" s="18">
        <v>3</v>
      </c>
      <c r="G16" s="20">
        <f t="shared" si="0"/>
        <v>12</v>
      </c>
      <c r="H16" s="20" t="s">
        <v>22</v>
      </c>
      <c r="I16" s="18" t="s">
        <v>48</v>
      </c>
      <c r="J16" s="19" t="s">
        <v>66</v>
      </c>
      <c r="K16" s="18" t="s">
        <v>67</v>
      </c>
      <c r="L16" s="18" t="s">
        <v>51</v>
      </c>
    </row>
    <row r="17" spans="1:12" ht="48" customHeight="1" x14ac:dyDescent="0.3">
      <c r="A17" s="21">
        <v>6</v>
      </c>
      <c r="B17" s="22" t="s">
        <v>63</v>
      </c>
      <c r="C17" s="23" t="s">
        <v>68</v>
      </c>
      <c r="D17" s="23" t="s">
        <v>69</v>
      </c>
      <c r="E17" s="22">
        <v>2</v>
      </c>
      <c r="F17" s="22">
        <v>4</v>
      </c>
      <c r="G17" s="25">
        <f t="shared" si="0"/>
        <v>8</v>
      </c>
      <c r="H17" s="25" t="s">
        <v>16</v>
      </c>
      <c r="I17" s="22" t="s">
        <v>70</v>
      </c>
      <c r="J17" s="23" t="s">
        <v>71</v>
      </c>
      <c r="K17" s="22" t="s">
        <v>55</v>
      </c>
      <c r="L17" s="22" t="s">
        <v>51</v>
      </c>
    </row>
    <row r="18" spans="1:12" ht="48" customHeight="1" x14ac:dyDescent="0.3">
      <c r="A18" s="17">
        <v>7</v>
      </c>
      <c r="B18" s="18" t="s">
        <v>63</v>
      </c>
      <c r="C18" s="19" t="s">
        <v>72</v>
      </c>
      <c r="D18" s="19" t="s">
        <v>73</v>
      </c>
      <c r="E18" s="18">
        <v>3</v>
      </c>
      <c r="F18" s="18">
        <v>3</v>
      </c>
      <c r="G18" s="25">
        <f t="shared" si="0"/>
        <v>9</v>
      </c>
      <c r="H18" s="25" t="s">
        <v>16</v>
      </c>
      <c r="I18" s="22" t="s">
        <v>70</v>
      </c>
      <c r="J18" s="19" t="s">
        <v>74</v>
      </c>
      <c r="K18" s="18" t="s">
        <v>67</v>
      </c>
      <c r="L18" s="18" t="s">
        <v>51</v>
      </c>
    </row>
    <row r="19" spans="1:12" ht="48" customHeight="1" x14ac:dyDescent="0.3">
      <c r="A19" s="21">
        <v>8</v>
      </c>
      <c r="B19" s="22" t="s">
        <v>75</v>
      </c>
      <c r="C19" s="23" t="s">
        <v>76</v>
      </c>
      <c r="D19" s="23" t="s">
        <v>77</v>
      </c>
      <c r="E19" s="22">
        <v>3</v>
      </c>
      <c r="F19" s="22">
        <v>3</v>
      </c>
      <c r="G19" s="25">
        <f t="shared" si="0"/>
        <v>9</v>
      </c>
      <c r="H19" s="25" t="s">
        <v>16</v>
      </c>
      <c r="I19" s="22" t="s">
        <v>48</v>
      </c>
      <c r="J19" s="23" t="s">
        <v>78</v>
      </c>
      <c r="K19" s="22" t="s">
        <v>67</v>
      </c>
      <c r="L19" s="22" t="s">
        <v>51</v>
      </c>
    </row>
    <row r="20" spans="1:12" ht="48" customHeight="1" x14ac:dyDescent="0.3">
      <c r="A20" s="17">
        <v>9</v>
      </c>
      <c r="B20" s="18" t="s">
        <v>75</v>
      </c>
      <c r="C20" s="19" t="s">
        <v>79</v>
      </c>
      <c r="D20" s="19" t="s">
        <v>80</v>
      </c>
      <c r="E20" s="18">
        <v>2</v>
      </c>
      <c r="F20" s="18">
        <v>3</v>
      </c>
      <c r="G20" s="25">
        <f t="shared" si="0"/>
        <v>6</v>
      </c>
      <c r="H20" s="25" t="s">
        <v>16</v>
      </c>
      <c r="I20" s="18" t="s">
        <v>48</v>
      </c>
      <c r="J20" s="19" t="s">
        <v>81</v>
      </c>
      <c r="K20" s="18" t="s">
        <v>82</v>
      </c>
      <c r="L20" s="18" t="s">
        <v>51</v>
      </c>
    </row>
    <row r="21" spans="1:12" ht="48" customHeight="1" x14ac:dyDescent="0.3">
      <c r="A21" s="21">
        <v>10</v>
      </c>
      <c r="B21" s="22" t="s">
        <v>83</v>
      </c>
      <c r="C21" s="23" t="s">
        <v>84</v>
      </c>
      <c r="D21" s="23" t="s">
        <v>85</v>
      </c>
      <c r="E21" s="22">
        <v>3</v>
      </c>
      <c r="F21" s="22">
        <v>5</v>
      </c>
      <c r="G21" s="24">
        <f t="shared" si="0"/>
        <v>15</v>
      </c>
      <c r="H21" s="24" t="s">
        <v>28</v>
      </c>
      <c r="I21" s="22" t="s">
        <v>48</v>
      </c>
      <c r="J21" s="23" t="s">
        <v>86</v>
      </c>
      <c r="K21" s="22" t="s">
        <v>87</v>
      </c>
      <c r="L21" s="22" t="s">
        <v>51</v>
      </c>
    </row>
    <row r="22" spans="1:12" ht="48" customHeight="1" x14ac:dyDescent="0.3">
      <c r="A22" s="17">
        <v>11</v>
      </c>
      <c r="B22" s="18" t="s">
        <v>83</v>
      </c>
      <c r="C22" s="19" t="s">
        <v>88</v>
      </c>
      <c r="D22" s="19" t="s">
        <v>89</v>
      </c>
      <c r="E22" s="18">
        <v>2</v>
      </c>
      <c r="F22" s="18">
        <v>2</v>
      </c>
      <c r="G22" s="26">
        <f t="shared" si="0"/>
        <v>4</v>
      </c>
      <c r="H22" s="26" t="s">
        <v>10</v>
      </c>
      <c r="I22" s="18" t="s">
        <v>48</v>
      </c>
      <c r="J22" s="19" t="s">
        <v>90</v>
      </c>
      <c r="K22" s="18" t="s">
        <v>82</v>
      </c>
      <c r="L22" s="18" t="s">
        <v>51</v>
      </c>
    </row>
    <row r="23" spans="1:12" ht="48" customHeight="1" x14ac:dyDescent="0.3">
      <c r="A23" s="21">
        <v>12</v>
      </c>
      <c r="B23" s="22" t="s">
        <v>91</v>
      </c>
      <c r="C23" s="23" t="s">
        <v>92</v>
      </c>
      <c r="D23" s="23" t="s">
        <v>93</v>
      </c>
      <c r="E23" s="22">
        <v>4</v>
      </c>
      <c r="F23" s="22">
        <v>4</v>
      </c>
      <c r="G23" s="24">
        <f t="shared" si="0"/>
        <v>16</v>
      </c>
      <c r="H23" s="24" t="s">
        <v>28</v>
      </c>
      <c r="I23" s="22" t="s">
        <v>48</v>
      </c>
      <c r="J23" s="23" t="s">
        <v>94</v>
      </c>
      <c r="K23" s="22" t="s">
        <v>50</v>
      </c>
      <c r="L23" s="22" t="s">
        <v>51</v>
      </c>
    </row>
    <row r="24" spans="1:12" ht="48" customHeight="1" x14ac:dyDescent="0.3">
      <c r="A24" s="17">
        <v>13</v>
      </c>
      <c r="B24" s="18" t="s">
        <v>91</v>
      </c>
      <c r="C24" s="19" t="s">
        <v>95</v>
      </c>
      <c r="D24" s="19" t="s">
        <v>96</v>
      </c>
      <c r="E24" s="18">
        <v>2</v>
      </c>
      <c r="F24" s="18">
        <v>5</v>
      </c>
      <c r="G24" s="20">
        <f t="shared" si="0"/>
        <v>10</v>
      </c>
      <c r="H24" s="20" t="s">
        <v>22</v>
      </c>
      <c r="I24" s="18" t="s">
        <v>48</v>
      </c>
      <c r="J24" s="19" t="s">
        <v>97</v>
      </c>
      <c r="K24" s="18" t="s">
        <v>55</v>
      </c>
      <c r="L24" s="18" t="s">
        <v>51</v>
      </c>
    </row>
  </sheetData>
  <mergeCells count="25">
    <mergeCell ref="A9:B9"/>
    <mergeCell ref="E9:F9"/>
    <mergeCell ref="A10:L10"/>
    <mergeCell ref="A7:B7"/>
    <mergeCell ref="E7:F7"/>
    <mergeCell ref="I7:J7"/>
    <mergeCell ref="K7:L7"/>
    <mergeCell ref="A8:B8"/>
    <mergeCell ref="E8:F8"/>
    <mergeCell ref="I8:J8"/>
    <mergeCell ref="K8:L8"/>
    <mergeCell ref="A5:B5"/>
    <mergeCell ref="E5:F5"/>
    <mergeCell ref="I5:J5"/>
    <mergeCell ref="K5:L5"/>
    <mergeCell ref="A6:B6"/>
    <mergeCell ref="E6:F6"/>
    <mergeCell ref="I6:J6"/>
    <mergeCell ref="K6:L6"/>
    <mergeCell ref="A1:L1"/>
    <mergeCell ref="A2:L2"/>
    <mergeCell ref="A3:L3"/>
    <mergeCell ref="A4:C4"/>
    <mergeCell ref="E4:G4"/>
    <mergeCell ref="I4:L4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de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FERNANDO ANTONIO ZARATE MARTINEZ</cp:lastModifiedBy>
  <cp:revision>0</cp:revision>
  <dcterms:created xsi:type="dcterms:W3CDTF">2026-04-22T02:36:45Z</dcterms:created>
  <dcterms:modified xsi:type="dcterms:W3CDTF">2026-04-22T18:15:43Z</dcterms:modified>
  <dc:language>en-US</dc:language>
</cp:coreProperties>
</file>