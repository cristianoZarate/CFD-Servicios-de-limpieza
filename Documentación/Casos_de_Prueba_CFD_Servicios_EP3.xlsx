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uebas Estandar" sheetId="1" state="visible" r:id="rId3"/>
    <sheet name="Casos de Prueba" sheetId="2" state="visible" r:id="rId4"/>
    <sheet name="Tota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<sst xmlns="http://schemas.openxmlformats.org/spreadsheetml/2006/main" count="361" uniqueCount="270">
  <si>
    <t xml:space="preserve">Casos de Pruebas Estandar</t>
  </si>
  <si>
    <t xml:space="preserve">Todos los hitos deben ser marcados en el casillero respectivo con los siguientes estados:</t>
  </si>
  <si>
    <t xml:space="preserve">OK: El hito cumple lo indicado   -   NC: No cumple el item en forma optima   -   NA: No aplica el item al componente/aplicacion a evaluar</t>
  </si>
  <si>
    <t xml:space="preserve">1.- INTERFAZ GRAFICA Y EXPERIENCIA DE USUARIO</t>
  </si>
  <si>
    <t xml:space="preserve">Estado</t>
  </si>
  <si>
    <t xml:space="preserve">E-1.1</t>
  </si>
  <si>
    <t xml:space="preserve">Los mensajes y modales (confirmacion, error, alertas) muestran un icono o estado visual claro. [CP-09]</t>
  </si>
  <si>
    <t xml:space="preserve">OK</t>
  </si>
  <si>
    <t xml:space="preserve">E-1.2</t>
  </si>
  <si>
    <t xml:space="preserve">Los botones tienen icono o frase acorde a su funcion (Bootstrap Icons en Navbar, Agenda, Admin).</t>
  </si>
  <si>
    <t xml:space="preserve">E-1.3</t>
  </si>
  <si>
    <t xml:space="preserve">Las pantallas de multiples pasos permiten volver al paso anterior (Agenda: 'Volver a cambiar fecha/hora'). [CP-11]</t>
  </si>
  <si>
    <t xml:space="preserve">E-1.4</t>
  </si>
  <si>
    <t xml:space="preserve">Los bloques horarios agotados se muestran deshabilitados con la etiqueta '(Agotado)'. [CP-10]</t>
  </si>
  <si>
    <t xml:space="preserve">E-1.5</t>
  </si>
  <si>
    <t xml:space="preserve">Mi Perfil presenta pestanas claras para 'Mis Datos' y 'Mis Agendamientos'. [CP-13, CP-15]</t>
  </si>
  <si>
    <t xml:space="preserve">2.- VALIDACION DE DATOS DE ENTRADA</t>
  </si>
  <si>
    <t xml:space="preserve">E-2.1</t>
  </si>
  <si>
    <t xml:space="preserve">El formulario de registro rechaza el envio con campos obligatorios vacios. [CP-02]</t>
  </si>
  <si>
    <t xml:space="preserve">E-2.2</t>
  </si>
  <si>
    <t xml:space="preserve">El registro valida formato de correo y dominio especifico (@gmail.com / @cfdservicios.cl) con mensajes distintos. [CP-03]</t>
  </si>
  <si>
    <t xml:space="preserve">E-2.3</t>
  </si>
  <si>
    <t xml:space="preserve">El registro exige contrasena de 10+ caracteres con mayuscula, numero y caracter especial. [CP-04]</t>
  </si>
  <si>
    <t xml:space="preserve">E-2.4</t>
  </si>
  <si>
    <t xml:space="preserve">El backend valida cupos disponibles antes de confirmar una reserva (cuposOcupados &lt; cuposTotales). [CP-12]</t>
  </si>
  <si>
    <t xml:space="preserve">E-2.5</t>
  </si>
  <si>
    <t xml:space="preserve">La edicion de Mi Perfil solo permite modificar nombre, apellido, telefono y direccion (no correo ni rol). [CP-14]</t>
  </si>
  <si>
    <t xml:space="preserve">E-2.6</t>
  </si>
  <si>
    <t xml:space="preserve">El catalogo de servicios se muestra completo, incluyendo todos los registros validos disponibles. [CP-17]</t>
  </si>
  <si>
    <t xml:space="preserve">3.- PRUEBAS FUNCIONALES END-TO-END</t>
  </si>
  <si>
    <t xml:space="preserve">E-3.1</t>
  </si>
  <si>
    <t xml:space="preserve">Flujo completo registro -&gt; login -&gt; agendar -&gt; confirmar reserva con numero CFD-{id}. [CP-01, CP-05, CP-11]</t>
  </si>
  <si>
    <t xml:space="preserve">E-3.2</t>
  </si>
  <si>
    <t xml:space="preserve">Disponibilidad mostrada en el frontend coincide 1:1 con la tabla disponibilidad en MySQL Workbench. [CP-09]</t>
  </si>
  <si>
    <t xml:space="preserve">E-3.3</t>
  </si>
  <si>
    <t xml:space="preserve">La cancelacion de una reserva desde el panel admin libera el cupo en disponibilidad. [CP-19]</t>
  </si>
  <si>
    <t xml:space="preserve">E-3.4</t>
  </si>
  <si>
    <t xml:space="preserve">Mi Perfil permite editar datos personales y consultar el historial de agendamientos. [CP-13, CP-14, CP-15]</t>
  </si>
  <si>
    <t xml:space="preserve">E-3.5</t>
  </si>
  <si>
    <t xml:space="preserve">Mi Perfil refleja en la Navbar los cambios realizados, sin necesidad de recargar la pagina. [CP-14]</t>
  </si>
  <si>
    <t xml:space="preserve">4.- SEGURIDAD</t>
  </si>
  <si>
    <t xml:space="preserve">E-4.1</t>
  </si>
  <si>
    <t xml:space="preserve">Las contrasenas se almacenan encriptadas con BCrypt (prefijo $2a$). [CP-01]</t>
  </si>
  <si>
    <t xml:space="preserve">E-4.2</t>
  </si>
  <si>
    <t xml:space="preserve">El login retorna un JWT valido y el frontend lo adjunta en el header Authorization de cada peticion.</t>
  </si>
  <si>
    <t xml:space="preserve">E-4.3</t>
  </si>
  <si>
    <t xml:space="preserve">CORS configurado: solo los origenes definidos (localhost:5173 y dominios de Vercel) pueden consumir la API.</t>
  </si>
  <si>
    <t xml:space="preserve">E-4.4</t>
  </si>
  <si>
    <t xml:space="preserve">GET /usuarios no expone el campo passwordHash en la respuesta.</t>
  </si>
  <si>
    <t xml:space="preserve">E-4.5</t>
  </si>
  <si>
    <t xml:space="preserve">Mi Perfil es inaccesible para administradores, tanto por boton oculto como por redireccion de ruta. [CP-16]</t>
  </si>
  <si>
    <t xml:space="preserve">E-4.6</t>
  </si>
  <si>
    <t xml:space="preserve">La validacion de contrasena se aplica de forma consistente en frontend y backend. [CP-04]</t>
  </si>
  <si>
    <t xml:space="preserve">E-4.7</t>
  </si>
  <si>
    <t xml:space="preserve">El directorio de clientes excluye correctamente a los administradores, identificados por su dominio de correo. [CP-20]</t>
  </si>
  <si>
    <t xml:space="preserve">5.- API / INTEGRACION Y CONFIGURACION DE AMBIENTES</t>
  </si>
  <si>
    <t xml:space="preserve">E-5.1</t>
  </si>
  <si>
    <t xml:space="preserve">Los endpoints REST retornan los codigos HTTP esperados (200, 201, 400, 401). [CP-09, CP-12]</t>
  </si>
  <si>
    <t xml:space="preserve">E-5.2</t>
  </si>
  <si>
    <t xml:space="preserve">application.properties usa variables de entorno con default local; funciona en XAMPP y en Railway sin editar archivos.</t>
  </si>
  <si>
    <t xml:space="preserve">E-5.3</t>
  </si>
  <si>
    <t xml:space="preserve">.env.local y .env.production cargan automaticamente la URL del backend segun el comando (npm run dev / build).</t>
  </si>
  <si>
    <t xml:space="preserve">PLANILLA CASOS DE PRUEBA</t>
  </si>
  <si>
    <t xml:space="preserve">PROYECTO</t>
  </si>
  <si>
    <t xml:space="preserve">CFD Servicios</t>
  </si>
  <si>
    <t xml:space="preserve">MODULOS</t>
  </si>
  <si>
    <t xml:space="preserve">Autenticacion / Agendamiento / Mi Perfil / Administracion</t>
  </si>
  <si>
    <t xml:space="preserve">NOMBRE JEFE DE PROYECTO</t>
  </si>
  <si>
    <t xml:space="preserve">Fernando Zarate Martinez</t>
  </si>
  <si>
    <t xml:space="preserve">NOMBRE ANALISTA TESTING</t>
  </si>
  <si>
    <t xml:space="preserve">Gabriel Avendano Campos</t>
  </si>
  <si>
    <t xml:space="preserve">N CICLO</t>
  </si>
  <si>
    <t xml:space="preserve">1, 2, 3 y 4</t>
  </si>
  <si>
    <t xml:space="preserve">FECHA</t>
  </si>
  <si>
    <t xml:space="preserve">17-06-2026</t>
  </si>
  <si>
    <t xml:space="preserve">Aplicacion satelite: CFD Servicios — Plataforma de Agendamiento Online</t>
  </si>
  <si>
    <t xml:space="preserve">N Caso
Uso</t>
  </si>
  <si>
    <t xml:space="preserve">Caso Uso</t>
  </si>
  <si>
    <t xml:space="preserve">MODULO</t>
  </si>
  <si>
    <t xml:space="preserve">FUNCIONALIDAD</t>
  </si>
  <si>
    <t xml:space="preserve">N CASO de
PRUEBA</t>
  </si>
  <si>
    <t xml:space="preserve">CASOS DE PRUEBAS
(QUE PROBAR)</t>
  </si>
  <si>
    <t xml:space="preserve">PROCEDIMIENTO DE PRUEBA
(COMO)</t>
  </si>
  <si>
    <t xml:space="preserve">DATOS DE PRUEBA
(CON QUE PROBAR)</t>
  </si>
  <si>
    <t xml:space="preserve">RESULTADO ESPERADO</t>
  </si>
  <si>
    <t xml:space="preserve">RESULTADO OBTENIDO
SI</t>
  </si>
  <si>
    <t xml:space="preserve">RESULTADO OBTENIDO
NO</t>
  </si>
  <si>
    <t xml:space="preserve">RESULTADO OBTENIDO
P</t>
  </si>
  <si>
    <t xml:space="preserve">RESULTADO OBTENIDO
Descripcion</t>
  </si>
  <si>
    <t xml:space="preserve">RF-001</t>
  </si>
  <si>
    <t xml:space="preserve">Registrarse</t>
  </si>
  <si>
    <t xml:space="preserve">Autenticacion</t>
  </si>
  <si>
    <t xml:space="preserve">Registro</t>
  </si>
  <si>
    <t xml:space="preserve">Registro de usuario con datos validos (nombre y apellido)</t>
  </si>
  <si>
    <t xml:space="preserve">1. Ingresar a /registro.</t>
  </si>
  <si>
    <t xml:space="preserve">Nombre, Apellido, correo @gmail.com, telefono, direccion, contrasena segura</t>
  </si>
  <si>
    <t xml:space="preserve">El sistema crea el usuario con nombre y apellido en columnas independientes, password encriptado (BCrypt), y redirige a /login.</t>
  </si>
  <si>
    <t xml:space="preserve">X</t>
  </si>
  <si>
    <t xml:space="preserve">Usuario creado correctamente; columnas nombre/apellido independientes verificadas en MySQL.</t>
  </si>
  <si>
    <t xml:space="preserve">2. Completar Nombre y Apellido en campos separados, correo, telefono, direccion y una contrasena valida.</t>
  </si>
  <si>
    <t xml:space="preserve">3. Hacer clic en 'Registrarse'.</t>
  </si>
  <si>
    <t xml:space="preserve">Registro con campos obligatorios vacios</t>
  </si>
  <si>
    <t xml:space="preserve">Formulario con campo Apellido vacio</t>
  </si>
  <si>
    <t xml:space="preserve">El sistema muestra 'Todos los campos son obligatorios.' y no llama al backend.</t>
  </si>
  <si>
    <t xml:space="preserve">Validacion de frontend detiene el envio sin llamar a /auth/registro.</t>
  </si>
  <si>
    <t xml:space="preserve">2. Dejar el campo Apellido vacio.</t>
  </si>
  <si>
    <t xml:space="preserve">3. Completar el resto y hacer clic en 'Registrarse'.</t>
  </si>
  <si>
    <t xml:space="preserve">Registro con correo de formato invalido o dominio no permitido</t>
  </si>
  <si>
    <t xml:space="preserve">1. Probar con 'correo-invalido' (sin @) en el campo correo.</t>
  </si>
  <si>
    <t xml:space="preserve">Correo sin @ / correo con dominio no autorizado</t>
  </si>
  <si>
    <t xml:space="preserve">Caso 1: 'El correo ingresado no tiene un formato valido.' Caso 2: 'Solo se permiten correos @gmail.com o corporativos @cfdservicios.cl.'</t>
  </si>
  <si>
    <t xml:space="preserve">Ambos mensajes especificos verificados por separado.</t>
  </si>
  <si>
    <t xml:space="preserve">2. Probar luego con un correo bien formado pero de dominio no permitido (ej. @hotmail.com).</t>
  </si>
  <si>
    <t xml:space="preserve">Registro con contrasena que no cumple los requisitos de seguridad</t>
  </si>
  <si>
    <t xml:space="preserve">1. Completar /registro con la contrasena 'abcdefghij' (sin mayuscula, numero ni caracter especial) y enviar.</t>
  </si>
  <si>
    <t xml:space="preserve">Contrasena 'abcdefghij' (10 caracteres, sin mayuscula/numero/especial)</t>
  </si>
  <si>
    <t xml:space="preserve">En ambos casos se rechaza con 'La contrasena debe tener una letra mayuscula, un numero, un caracter especial (ej: ! @ # $ %).'</t>
  </si>
  <si>
    <t xml:space="preserve">Mensaje especifico verificado de forma consistente en frontend y backend.</t>
  </si>
  <si>
    <t xml:space="preserve">2. Repetir el mismo envio con Postman directo a POST /auth/registro.</t>
  </si>
  <si>
    <t xml:space="preserve">RF-002</t>
  </si>
  <si>
    <t xml:space="preserve">Iniciar sesion</t>
  </si>
  <si>
    <t xml:space="preserve">Login</t>
  </si>
  <si>
    <t xml:space="preserve">Inicio de sesion con credenciales validas</t>
  </si>
  <si>
    <t xml:space="preserve">1. Ingresar a /login.</t>
  </si>
  <si>
    <t xml:space="preserve">Usuario @gmail.com registrado previamente</t>
  </si>
  <si>
    <t xml:space="preserve">Backend retorna 200 OK con JWT y objeto usuario; frontend redirige a '/'.</t>
  </si>
  <si>
    <t xml:space="preserve">Token almacenado en localStorage; Navbar muestra el nombre del usuario.</t>
  </si>
  <si>
    <t xml:space="preserve">2. Ingresar correo y contrasena validos.</t>
  </si>
  <si>
    <t xml:space="preserve">3. Hacer clic en 'Ingresar'.</t>
  </si>
  <si>
    <t xml:space="preserve">RF-002 / RF-008</t>
  </si>
  <si>
    <t xml:space="preserve">Login y acceso admin</t>
  </si>
  <si>
    <t xml:space="preserve">Inicio de sesion y acceso administrativo segun el dominio de correo</t>
  </si>
  <si>
    <t xml:space="preserve">1. Iniciar sesion con la cuenta @cfdservicios.cl y verificar la redireccion a /admin.</t>
  </si>
  <si>
    <t xml:space="preserve">Un usuario @cfdservicios.cl y otro @gmail.com</t>
  </si>
  <si>
    <t xml:space="preserve">El usuario corporativo accede al Dashboard; el usuario @gmail.com no ve la opcion de gestion ni puede acceder al panel.</t>
  </si>
  <si>
    <t xml:space="preserve">Comportamiento verificado para ambos usuarios.</t>
  </si>
  <si>
    <t xml:space="preserve">2. Cerrar sesion e iniciar con la cuenta @gmail.com.</t>
  </si>
  <si>
    <t xml:space="preserve">3. Verificar que 'GESTION' no aparezca en la Navbar y que /admin no sea accesible.</t>
  </si>
  <si>
    <t xml:space="preserve">Inicio de sesion con credenciales invalidas</t>
  </si>
  <si>
    <t xml:space="preserve">Correo valido + contrasena erronea</t>
  </si>
  <si>
    <t xml:space="preserve">Backend retorna 401; frontend muestra 'El correo o la contrasena son incorrectos.'</t>
  </si>
  <si>
    <t xml:space="preserve">Mensaje de error mostrado; campo contrasena limpiado.</t>
  </si>
  <si>
    <t xml:space="preserve">2. Ingresar correo valido y contrasena incorrecta.</t>
  </si>
  <si>
    <t xml:space="preserve">RF-003</t>
  </si>
  <si>
    <t xml:space="preserve">Cerrar sesion</t>
  </si>
  <si>
    <t xml:space="preserve">Logout</t>
  </si>
  <si>
    <t xml:space="preserve">Cierre de sesion</t>
  </si>
  <si>
    <t xml:space="preserve">1. Hacer clic en el menu de perfil.</t>
  </si>
  <si>
    <t xml:space="preserve">Usuario con sesion activa</t>
  </si>
  <si>
    <t xml:space="preserve">Se eliminan token y usuarioLogueado de localStorage; Navbar vuelve a 'INGRESAR'.</t>
  </si>
  <si>
    <t xml:space="preserve">Navbar actualizada sin recargar la pagina.</t>
  </si>
  <si>
    <t xml:space="preserve">2. Seleccionar 'Cerrar Sesion'.</t>
  </si>
  <si>
    <t xml:space="preserve">RF-004</t>
  </si>
  <si>
    <t xml:space="preserve">Agendar servicio</t>
  </si>
  <si>
    <t xml:space="preserve">Agendamiento</t>
  </si>
  <si>
    <t xml:space="preserve">Disponibilidad</t>
  </si>
  <si>
    <t xml:space="preserve">Consulta de disponibilidad sincronizada con la BD</t>
  </si>
  <si>
    <t xml:space="preserve">1. Abrir /agenda.</t>
  </si>
  <si>
    <t xml:space="preserve">Fecha futura sin registros en tabla disponibilidad</t>
  </si>
  <si>
    <t xml:space="preserve">11 bloques de 1 hora (09:00-20:00), cuposTotales=1, identicos en frontend y BD.</t>
  </si>
  <si>
    <t xml:space="preserve">Coincidencia 1:1 verificada entre frontend y MySQL Workbench.</t>
  </si>
  <si>
    <t xml:space="preserve">2. Seleccionar servicio y fecha sin registros previos.</t>
  </si>
  <si>
    <t xml:space="preserve">3. Consultar tabla disponibilidad en MySQL Workbench.</t>
  </si>
  <si>
    <t xml:space="preserve">Seleccion de servicio y horario agotado</t>
  </si>
  <si>
    <t xml:space="preserve">1. Seleccionar 'Limpieza de Vidrios en Altura'.</t>
  </si>
  <si>
    <t xml:space="preserve">Bloque con cuposOcupados = cuposTotales</t>
  </si>
  <si>
    <t xml:space="preserve">El bloque agotado se muestra deshabilitado con '(Agotado)'.</t>
  </si>
  <si>
    <t xml:space="preserve">Boton deshabilitado correctamente.</t>
  </si>
  <si>
    <t xml:space="preserve">2. Seleccionar fecha con bloque agotado.</t>
  </si>
  <si>
    <t xml:space="preserve">3. Observar grilla de horarios.</t>
  </si>
  <si>
    <t xml:space="preserve">RF-005</t>
  </si>
  <si>
    <t xml:space="preserve">Confirmar reserva</t>
  </si>
  <si>
    <t xml:space="preserve">Reservas</t>
  </si>
  <si>
    <t xml:space="preserve">Confirmacion de reserva con sesion activa</t>
  </si>
  <si>
    <t xml:space="preserve">1. Seleccionar servicio, fecha y hora.</t>
  </si>
  <si>
    <t xml:space="preserve">Usuario logueado + bloque con cupos disponibles</t>
  </si>
  <si>
    <t xml:space="preserve">POST /reservas retorna 201 Created; cuposOcupados +1; modal con numero CFD-{id}.</t>
  </si>
  <si>
    <t xml:space="preserve">Reserva creada correctamente y numero de confirmacion mostrado al instante.</t>
  </si>
  <si>
    <t xml:space="preserve">2. Hacer clic en 'CONTINUAR'.</t>
  </si>
  <si>
    <t xml:space="preserve">3. Hacer clic en 'CONFIRMAR MI AGENDAMIENTO'.</t>
  </si>
  <si>
    <t xml:space="preserve">Confirmacion de reserva sin cupos disponibles</t>
  </si>
  <si>
    <t xml:space="preserve">1. Identificar disponibilidadId de un bloque agotado.</t>
  </si>
  <si>
    <t xml:space="preserve">disponibilidadId con cuposOcupados = cuposTotales</t>
  </si>
  <si>
    <t xml:space="preserve">Backend retorna 400 con 'Lo sentimos, ya no hay cupos disponibles para este horario.'</t>
  </si>
  <si>
    <t xml:space="preserve">Codigo 400 y mensaje exacto verificados; cuposOcupados no se modifica.</t>
  </si>
  <si>
    <t xml:space="preserve">2. Enviar POST /reservas con ese id desde Postman.</t>
  </si>
  <si>
    <t xml:space="preserve">RF-007</t>
  </si>
  <si>
    <t xml:space="preserve">Ver mi perfil</t>
  </si>
  <si>
    <t xml:space="preserve">Mi Perfil</t>
  </si>
  <si>
    <t xml:space="preserve">Datos personales</t>
  </si>
  <si>
    <t xml:space="preserve">Visualizacion de datos personales en Mi Perfil</t>
  </si>
  <si>
    <t xml:space="preserve">1. Iniciar sesion como cliente.</t>
  </si>
  <si>
    <t xml:space="preserve">Usuario cliente con sesion iniciada</t>
  </si>
  <si>
    <t xml:space="preserve">El formulario muestra los datos reales del usuario; el campo correo aparece deshabilitado.</t>
  </si>
  <si>
    <t xml:space="preserve">Datos cargados correctamente; campo correo bloqueado.</t>
  </si>
  <si>
    <t xml:space="preserve">2. Abrir el menu de perfil -&gt; 'Mi Perfil'.</t>
  </si>
  <si>
    <t xml:space="preserve">3. Verificar que los campos se llenen con los datos reales de GET /usuarios/{id}.</t>
  </si>
  <si>
    <t xml:space="preserve">Editar mi perfil</t>
  </si>
  <si>
    <t xml:space="preserve">Edicion de datos personales en Mi Perfil</t>
  </si>
  <si>
    <t xml:space="preserve">1. Modificar el campo Telefono.</t>
  </si>
  <si>
    <t xml:space="preserve">Usuario cliente en la pestana 'Mis Datos'</t>
  </si>
  <si>
    <t xml:space="preserve">PUT /usuarios/{id} retorna 200 OK; telefono actualizado; correo, passwordHash y rol sin cambios. Navbar refleja el nombre actualizado.</t>
  </si>
  <si>
    <t xml:space="preserve">Cambio persistido correctamente; Navbar sincronizada via evento usuarioLogueado.</t>
  </si>
  <si>
    <t xml:space="preserve">2. Hacer clic en 'Guardar Cambios'.</t>
  </si>
  <si>
    <t xml:space="preserve">3. Consultar la tabla usuarios en MySQL Workbench.</t>
  </si>
  <si>
    <t xml:space="preserve">RF-006 / RF-007</t>
  </si>
  <si>
    <t xml:space="preserve">Ver mis agendamientos</t>
  </si>
  <si>
    <t xml:space="preserve">Historial</t>
  </si>
  <si>
    <t xml:space="preserve">Visualizacion del historial en Mis Agendamientos</t>
  </si>
  <si>
    <t xml:space="preserve">1. Ingresar a /perfil.</t>
  </si>
  <si>
    <t xml:space="preserve">Usuario cliente con al menos una reserva registrada</t>
  </si>
  <si>
    <t xml:space="preserve">Se listan las reservas con numero CFD-{id}, servicio, fecha, hora y pildora de estado con color correcto.</t>
  </si>
  <si>
    <t xml:space="preserve">Lista coincide con la respuesta del backend; pildoras de estado con color correcto.</t>
  </si>
  <si>
    <t xml:space="preserve">2. Seleccionar la pestana 'Mis Agendamientos'.</t>
  </si>
  <si>
    <t xml:space="preserve">3. Verificar que la lista coincida con GET /reservas/usuario/{id}.</t>
  </si>
  <si>
    <t xml:space="preserve">Restringir acceso admin</t>
  </si>
  <si>
    <t xml:space="preserve">Seguridad</t>
  </si>
  <si>
    <t xml:space="preserve">Acceso a Mi Perfil restringido para administradores</t>
  </si>
  <si>
    <t xml:space="preserve">1. Iniciar sesion con cuenta corporativa.</t>
  </si>
  <si>
    <t xml:space="preserve">Usuario con correo @cfdservicios.cl</t>
  </si>
  <si>
    <t xml:space="preserve">El dropdown no muestra 'Mi Perfil' para administradores; al navegar directo a /perfil, redirige a /admin.</t>
  </si>
  <si>
    <t xml:space="preserve">Boton oculto y redireccion automatica verificadas.</t>
  </si>
  <si>
    <t xml:space="preserve">2. Verificar que no aparezca 'Mi Perfil' en el menu.</t>
  </si>
  <si>
    <t xml:space="preserve">3. Escribir manualmente localhost:5173/perfil en la URL.</t>
  </si>
  <si>
    <t xml:space="preserve">RF-009</t>
  </si>
  <si>
    <t xml:space="preserve">Gestionar servicios</t>
  </si>
  <si>
    <t xml:space="preserve">Administracion</t>
  </si>
  <si>
    <t xml:space="preserve">Catalogo</t>
  </si>
  <si>
    <t xml:space="preserve">Listado completo del catalogo de servicios</t>
  </si>
  <si>
    <t xml:space="preserve">1. Consultar GET /servicios en Postman.</t>
  </si>
  <si>
    <t xml:space="preserve">Tabla servicios con sus 3 registros disponibles</t>
  </si>
  <si>
    <t xml:space="preserve">Se retornan los 3 servicios disponibles, con nombre, descripcion y categoria asociada.</t>
  </si>
  <si>
    <t xml:space="preserve">Los 3 servicios se retornan correctamente.</t>
  </si>
  <si>
    <t xml:space="preserve">2. Comparar con los 3 registros de la tabla servicios en MySQL Workbench.</t>
  </si>
  <si>
    <t xml:space="preserve">RF-010</t>
  </si>
  <si>
    <t xml:space="preserve">Gestionar disponibilidad</t>
  </si>
  <si>
    <t xml:space="preserve">Generacion automatica de bloques de disponibilidad</t>
  </si>
  <si>
    <t xml:space="preserve">1. GET /disponibilidad/consultar?fecha=&lt;futura&gt;&amp;servicioId=1.</t>
  </si>
  <si>
    <t xml:space="preserve">Tabla disponibilidad sin registros para la fecha de prueba</t>
  </si>
  <si>
    <t xml:space="preserve">Se insertan 11 filas (09:00-20:00) sin solapamiento, cuposOcupados=0.</t>
  </si>
  <si>
    <t xml:space="preserve">11 registros generados y persistidos correctamente.</t>
  </si>
  <si>
    <t xml:space="preserve">2. Verificar tabla disponibilidad en MySQL Workbench.</t>
  </si>
  <si>
    <t xml:space="preserve">RF-011</t>
  </si>
  <si>
    <t xml:space="preserve">Gestionar reservas</t>
  </si>
  <si>
    <t xml:space="preserve">Cancelacion de reserva desde el panel administrativo</t>
  </si>
  <si>
    <t xml:space="preserve">1. Clic en 'Cancelar agendamiento' sobre una reserva.</t>
  </si>
  <si>
    <t xml:space="preserve">Una reserva con estado CONFIRMADA</t>
  </si>
  <si>
    <t xml:space="preserve">La reserva cambia a CANCELADA y cuposOcupados disminuye en 1.</t>
  </si>
  <si>
    <t xml:space="preserve">Cancelacion procesada correctamente.</t>
  </si>
  <si>
    <t xml:space="preserve">2. Confirmar la accion.</t>
  </si>
  <si>
    <t xml:space="preserve">3. Consultar tabla disponibilidad.</t>
  </si>
  <si>
    <t xml:space="preserve">RF-012</t>
  </si>
  <si>
    <t xml:space="preserve">Ver reportes</t>
  </si>
  <si>
    <t xml:space="preserve">Clientes</t>
  </si>
  <si>
    <t xml:space="preserve">Directorio de clientes excluye administradores</t>
  </si>
  <si>
    <t xml:space="preserve">1. Iniciar sesion como administrador.</t>
  </si>
  <si>
    <t xml:space="preserve">Un usuario administrador y uno o mas usuarios cliente registrados</t>
  </si>
  <si>
    <t xml:space="preserve">Solo se listan usuarios cuyo correo no pertenece al dominio corporativo, con nombre, correo, telefono y direccion.</t>
  </si>
  <si>
    <t xml:space="preserve">Administradores correctamente excluidos del directorio.</t>
  </si>
  <si>
    <t xml:space="preserve">2. Ir a la seccion 'Clientes'.</t>
  </si>
  <si>
    <t xml:space="preserve">3. Verificar que los usuarios @cfdservicios.cl no aparezcan.</t>
  </si>
  <si>
    <t xml:space="preserve">Casos de Pruebas Estandar de QA</t>
  </si>
  <si>
    <t xml:space="preserve">Total Pruebas Estandar OK</t>
  </si>
  <si>
    <t xml:space="preserve">Total Pruebas Estandar NO CUMPLE</t>
  </si>
  <si>
    <t xml:space="preserve">Total Pruebas Estandar NO APLICA</t>
  </si>
  <si>
    <t xml:space="preserve">Total casos de Prueba</t>
  </si>
  <si>
    <t xml:space="preserve">Total casos de Prueba OK</t>
  </si>
  <si>
    <t xml:space="preserve">Total casos de Prueba NO OK</t>
  </si>
  <si>
    <t xml:space="preserve">Total casos de Prueba No Aplica</t>
  </si>
  <si>
    <t xml:space="preserve">Total casos de Prueba No revisados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</si>
</sst>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003D7E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3D7E"/>
        <bgColor rgb="FF333399"/>
      </patternFill>
    </fill>
    <fill>
      <patternFill patternType="solid">
        <fgColor rgb="FFF4F7FA"/>
        <bgColor rgb="FFEBF3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4F7FA"/>
      </patternFill>
    </fill>
    <fill>
      <patternFill patternType="solid">
        <fgColor rgb="FFEBF3FF"/>
        <bgColor rgb="FFF4F7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A"/>
      <rgbColor rgb="FFEBF3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D7E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4" min="3" style="0" width="12"/>
  </cols>
  <sheetData>
    <row r="2" customFormat="false" ht="15" hidden="false" customHeight="true" outlineLevel="0" collapsed="false">
      <c r="B2" s="1" t="s">
        <v>0</v>
      </c>
      <c r="C2" s="1"/>
      <c r="D2" s="1"/>
    </row>
    <row r="4" customFormat="false" ht="15" hidden="false" customHeight="true" outlineLevel="0" collapsed="false">
      <c r="B4" s="2" t="s">
        <v>1</v>
      </c>
      <c r="C4" s="2"/>
      <c r="D4" s="2"/>
    </row>
    <row r="5" customFormat="false" ht="23.85" hidden="false" customHeight="true" outlineLevel="0" collapsed="false">
      <c r="B5" s="2" t="s">
        <v>2</v>
      </c>
      <c r="C5" s="2"/>
      <c r="D5" s="2"/>
    </row>
    <row r="7" customFormat="false" ht="15" hidden="false" customHeight="true" outlineLevel="0" collapsed="false">
      <c r="A7" s="3" t="s">
        <v>3</v>
      </c>
      <c r="B7" s="3"/>
      <c r="C7" s="3"/>
      <c r="D7" s="4" t="s">
        <v>4</v>
      </c>
    </row>
    <row r="8" customFormat="false" ht="23.85" hidden="false" customHeight="true" outlineLevel="0" collapsed="false">
      <c r="A8" s="5" t="s">
        <v>5</v>
      </c>
      <c r="B8" s="6" t="s">
        <v>6</v>
      </c>
      <c r="C8" s="6"/>
      <c r="D8" s="7" t="s">
        <v>7</v>
      </c>
    </row>
    <row r="9" customFormat="false" ht="23.85" hidden="false" customHeight="true" outlineLevel="0" collapsed="false">
      <c r="A9" s="5" t="s">
        <v>8</v>
      </c>
      <c r="B9" s="6" t="s">
        <v>9</v>
      </c>
      <c r="C9" s="6"/>
      <c r="D9" s="7" t="s">
        <v>7</v>
      </c>
    </row>
    <row r="10" customFormat="false" ht="23.85" hidden="false" customHeight="true" outlineLevel="0" collapsed="false">
      <c r="A10" s="5" t="s">
        <v>10</v>
      </c>
      <c r="B10" s="6" t="s">
        <v>11</v>
      </c>
      <c r="C10" s="6"/>
      <c r="D10" s="7" t="s">
        <v>7</v>
      </c>
    </row>
    <row r="11" customFormat="false" ht="23.85" hidden="false" customHeight="true" outlineLevel="0" collapsed="false">
      <c r="A11" s="5" t="s">
        <v>12</v>
      </c>
      <c r="B11" s="6" t="s">
        <v>13</v>
      </c>
      <c r="C11" s="6"/>
      <c r="D11" s="7" t="s">
        <v>7</v>
      </c>
    </row>
    <row r="12" customFormat="false" ht="15" hidden="false" customHeight="true" outlineLevel="0" collapsed="false">
      <c r="A12" s="5" t="s">
        <v>14</v>
      </c>
      <c r="B12" s="6" t="s">
        <v>15</v>
      </c>
      <c r="C12" s="6"/>
      <c r="D12" s="7" t="s">
        <v>7</v>
      </c>
    </row>
    <row r="14" customFormat="false" ht="15" hidden="false" customHeight="true" outlineLevel="0" collapsed="false">
      <c r="A14" s="3" t="s">
        <v>16</v>
      </c>
      <c r="B14" s="3"/>
      <c r="C14" s="3"/>
      <c r="D14" s="4" t="s">
        <v>4</v>
      </c>
    </row>
    <row r="15" customFormat="false" ht="15" hidden="false" customHeight="true" outlineLevel="0" collapsed="false">
      <c r="A15" s="5" t="s">
        <v>17</v>
      </c>
      <c r="B15" s="6" t="s">
        <v>18</v>
      </c>
      <c r="C15" s="6"/>
      <c r="D15" s="7" t="s">
        <v>7</v>
      </c>
    </row>
    <row r="16" customFormat="false" ht="23.85" hidden="false" customHeight="true" outlineLevel="0" collapsed="false">
      <c r="A16" s="5" t="s">
        <v>19</v>
      </c>
      <c r="B16" s="6" t="s">
        <v>20</v>
      </c>
      <c r="C16" s="6"/>
      <c r="D16" s="7" t="s">
        <v>7</v>
      </c>
    </row>
    <row r="17" customFormat="false" ht="23.85" hidden="false" customHeight="true" outlineLevel="0" collapsed="false">
      <c r="A17" s="5" t="s">
        <v>21</v>
      </c>
      <c r="B17" s="6" t="s">
        <v>22</v>
      </c>
      <c r="C17" s="6"/>
      <c r="D17" s="7" t="s">
        <v>7</v>
      </c>
    </row>
    <row r="18" customFormat="false" ht="23.85" hidden="false" customHeight="true" outlineLevel="0" collapsed="false">
      <c r="A18" s="5" t="s">
        <v>23</v>
      </c>
      <c r="B18" s="6" t="s">
        <v>24</v>
      </c>
      <c r="C18" s="6"/>
      <c r="D18" s="7" t="s">
        <v>7</v>
      </c>
    </row>
    <row r="19" customFormat="false" ht="23.85" hidden="false" customHeight="true" outlineLevel="0" collapsed="false">
      <c r="A19" s="5" t="s">
        <v>25</v>
      </c>
      <c r="B19" s="6" t="s">
        <v>26</v>
      </c>
      <c r="C19" s="6"/>
      <c r="D19" s="7" t="s">
        <v>7</v>
      </c>
    </row>
    <row r="20" customFormat="false" ht="23.85" hidden="false" customHeight="true" outlineLevel="0" collapsed="false">
      <c r="A20" s="5" t="s">
        <v>27</v>
      </c>
      <c r="B20" s="6" t="s">
        <v>28</v>
      </c>
      <c r="C20" s="6"/>
      <c r="D20" s="7" t="s">
        <v>7</v>
      </c>
    </row>
    <row r="22" customFormat="false" ht="15" hidden="false" customHeight="true" outlineLevel="0" collapsed="false">
      <c r="A22" s="3" t="s">
        <v>29</v>
      </c>
      <c r="B22" s="3"/>
      <c r="C22" s="3"/>
      <c r="D22" s="4" t="s">
        <v>4</v>
      </c>
    </row>
    <row r="23" customFormat="false" ht="23.85" hidden="false" customHeight="true" outlineLevel="0" collapsed="false">
      <c r="A23" s="5" t="s">
        <v>30</v>
      </c>
      <c r="B23" s="6" t="s">
        <v>31</v>
      </c>
      <c r="C23" s="6"/>
      <c r="D23" s="7" t="s">
        <v>7</v>
      </c>
    </row>
    <row r="24" customFormat="false" ht="23.85" hidden="false" customHeight="true" outlineLevel="0" collapsed="false">
      <c r="A24" s="5" t="s">
        <v>32</v>
      </c>
      <c r="B24" s="6" t="s">
        <v>33</v>
      </c>
      <c r="C24" s="6"/>
      <c r="D24" s="7" t="s">
        <v>7</v>
      </c>
    </row>
    <row r="25" customFormat="false" ht="23.85" hidden="false" customHeight="true" outlineLevel="0" collapsed="false">
      <c r="A25" s="5" t="s">
        <v>34</v>
      </c>
      <c r="B25" s="6" t="s">
        <v>35</v>
      </c>
      <c r="C25" s="6"/>
      <c r="D25" s="7" t="s">
        <v>7</v>
      </c>
    </row>
    <row r="26" customFormat="false" ht="23.85" hidden="false" customHeight="true" outlineLevel="0" collapsed="false">
      <c r="A26" s="5" t="s">
        <v>36</v>
      </c>
      <c r="B26" s="6" t="s">
        <v>37</v>
      </c>
      <c r="C26" s="6"/>
      <c r="D26" s="7" t="s">
        <v>7</v>
      </c>
    </row>
    <row r="27" customFormat="false" ht="23.85" hidden="false" customHeight="true" outlineLevel="0" collapsed="false">
      <c r="A27" s="5" t="s">
        <v>38</v>
      </c>
      <c r="B27" s="6" t="s">
        <v>39</v>
      </c>
      <c r="C27" s="6"/>
      <c r="D27" s="7" t="s">
        <v>7</v>
      </c>
    </row>
    <row r="29" customFormat="false" ht="15" hidden="false" customHeight="true" outlineLevel="0" collapsed="false">
      <c r="A29" s="3" t="s">
        <v>40</v>
      </c>
      <c r="B29" s="3"/>
      <c r="C29" s="3"/>
      <c r="D29" s="4" t="s">
        <v>4</v>
      </c>
    </row>
    <row r="30" customFormat="false" ht="15" hidden="false" customHeight="true" outlineLevel="0" collapsed="false">
      <c r="A30" s="5" t="s">
        <v>41</v>
      </c>
      <c r="B30" s="6" t="s">
        <v>42</v>
      </c>
      <c r="C30" s="6"/>
      <c r="D30" s="7" t="s">
        <v>7</v>
      </c>
    </row>
    <row r="31" customFormat="false" ht="23.85" hidden="false" customHeight="true" outlineLevel="0" collapsed="false">
      <c r="A31" s="5" t="s">
        <v>43</v>
      </c>
      <c r="B31" s="6" t="s">
        <v>44</v>
      </c>
      <c r="C31" s="6"/>
      <c r="D31" s="7" t="s">
        <v>7</v>
      </c>
    </row>
    <row r="32" customFormat="false" ht="23.85" hidden="false" customHeight="true" outlineLevel="0" collapsed="false">
      <c r="A32" s="5" t="s">
        <v>45</v>
      </c>
      <c r="B32" s="6" t="s">
        <v>46</v>
      </c>
      <c r="C32" s="6"/>
      <c r="D32" s="7" t="s">
        <v>7</v>
      </c>
    </row>
    <row r="33" customFormat="false" ht="15" hidden="false" customHeight="true" outlineLevel="0" collapsed="false">
      <c r="A33" s="5" t="s">
        <v>47</v>
      </c>
      <c r="B33" s="6" t="s">
        <v>48</v>
      </c>
      <c r="C33" s="6"/>
      <c r="D33" s="7" t="s">
        <v>7</v>
      </c>
    </row>
    <row r="34" customFormat="false" ht="23.85" hidden="false" customHeight="true" outlineLevel="0" collapsed="false">
      <c r="A34" s="5" t="s">
        <v>49</v>
      </c>
      <c r="B34" s="6" t="s">
        <v>50</v>
      </c>
      <c r="C34" s="6"/>
      <c r="D34" s="7" t="s">
        <v>7</v>
      </c>
    </row>
    <row r="35" customFormat="false" ht="15" hidden="false" customHeight="true" outlineLevel="0" collapsed="false">
      <c r="A35" s="5" t="s">
        <v>51</v>
      </c>
      <c r="B35" s="6" t="s">
        <v>52</v>
      </c>
      <c r="C35" s="6"/>
      <c r="D35" s="7" t="s">
        <v>7</v>
      </c>
    </row>
    <row r="36" customFormat="false" ht="23.85" hidden="false" customHeight="true" outlineLevel="0" collapsed="false">
      <c r="A36" s="5" t="s">
        <v>53</v>
      </c>
      <c r="B36" s="6" t="s">
        <v>54</v>
      </c>
      <c r="C36" s="6"/>
      <c r="D36" s="7" t="s">
        <v>7</v>
      </c>
    </row>
    <row r="38" customFormat="false" ht="15" hidden="false" customHeight="true" outlineLevel="0" collapsed="false">
      <c r="A38" s="3" t="s">
        <v>55</v>
      </c>
      <c r="B38" s="3"/>
      <c r="C38" s="3"/>
      <c r="D38" s="4" t="s">
        <v>4</v>
      </c>
    </row>
    <row r="39" customFormat="false" ht="23.85" hidden="false" customHeight="true" outlineLevel="0" collapsed="false">
      <c r="A39" s="5" t="s">
        <v>56</v>
      </c>
      <c r="B39" s="6" t="s">
        <v>57</v>
      </c>
      <c r="C39" s="6"/>
      <c r="D39" s="7" t="s">
        <v>7</v>
      </c>
    </row>
    <row r="40" customFormat="false" ht="23.85" hidden="false" customHeight="true" outlineLevel="0" collapsed="false">
      <c r="A40" s="5" t="s">
        <v>58</v>
      </c>
      <c r="B40" s="6" t="s">
        <v>59</v>
      </c>
      <c r="C40" s="6"/>
      <c r="D40" s="7" t="s">
        <v>7</v>
      </c>
    </row>
    <row r="41" customFormat="false" ht="23.85" hidden="false" customHeight="true" outlineLevel="0" collapsed="false">
      <c r="A41" s="5" t="s">
        <v>60</v>
      </c>
      <c r="B41" s="6" t="s">
        <v>61</v>
      </c>
      <c r="C41" s="6"/>
      <c r="D41" s="7" t="s">
        <v>7</v>
      </c>
    </row>
  </sheetData>
  <mergeCells count="34">
    <mergeCell ref="B2:D2"/>
    <mergeCell ref="B4:D4"/>
    <mergeCell ref="B5:D5"/>
    <mergeCell ref="A7:C7"/>
    <mergeCell ref="B8:C8"/>
    <mergeCell ref="B9:C9"/>
    <mergeCell ref="B10:C10"/>
    <mergeCell ref="B11:C11"/>
    <mergeCell ref="B12:C12"/>
    <mergeCell ref="A14:C14"/>
    <mergeCell ref="B15:C15"/>
    <mergeCell ref="B16:C16"/>
    <mergeCell ref="B17:C17"/>
    <mergeCell ref="B18:C18"/>
    <mergeCell ref="B19:C19"/>
    <mergeCell ref="B20:C20"/>
    <mergeCell ref="A22:C22"/>
    <mergeCell ref="B23:C23"/>
    <mergeCell ref="B24:C24"/>
    <mergeCell ref="B25:C25"/>
    <mergeCell ref="B26:C26"/>
    <mergeCell ref="B27:C27"/>
    <mergeCell ref="A29:C29"/>
    <mergeCell ref="B30:C30"/>
    <mergeCell ref="B31:C31"/>
    <mergeCell ref="B32:C32"/>
    <mergeCell ref="B33:C33"/>
    <mergeCell ref="B34:C34"/>
    <mergeCell ref="B35:C35"/>
    <mergeCell ref="B36:C36"/>
    <mergeCell ref="A38:C38"/>
    <mergeCell ref="B39:C39"/>
    <mergeCell ref="B40:C40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7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8" min="8" style="0" width="22"/>
    <col collapsed="false" customWidth="true" hidden="false" outlineLevel="0" max="9" min="9" style="0" width="28"/>
    <col collapsed="false" customWidth="true" hidden="false" outlineLevel="0" max="12" min="10" style="0" width="6"/>
    <col collapsed="false" customWidth="true" hidden="false" outlineLevel="0" max="13" min="13" style="0" width="30"/>
  </cols>
  <sheetData>
    <row r="2" customFormat="false" ht="18.65" hidden="false" customHeight="true" outlineLevel="0" collapsed="false">
      <c r="A2" s="8" t="s">
        <v>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15" hidden="false" customHeight="true" outlineLevel="0" collapsed="false">
      <c r="A4" s="9" t="s">
        <v>63</v>
      </c>
      <c r="B4" s="9"/>
      <c r="C4" s="9"/>
      <c r="D4" s="6" t="s">
        <v>64</v>
      </c>
      <c r="E4" s="6"/>
      <c r="F4" s="6"/>
      <c r="G4" s="6"/>
      <c r="H4" s="6"/>
    </row>
    <row r="5" customFormat="false" ht="15" hidden="false" customHeight="true" outlineLevel="0" collapsed="false">
      <c r="A5" s="9" t="s">
        <v>65</v>
      </c>
      <c r="B5" s="9"/>
      <c r="C5" s="9"/>
      <c r="D5" s="6" t="s">
        <v>66</v>
      </c>
      <c r="E5" s="6"/>
      <c r="F5" s="6"/>
      <c r="G5" s="6"/>
      <c r="H5" s="6"/>
    </row>
    <row r="6" customFormat="false" ht="15" hidden="false" customHeight="true" outlineLevel="0" collapsed="false">
      <c r="A6" s="9" t="s">
        <v>67</v>
      </c>
      <c r="B6" s="9"/>
      <c r="C6" s="9"/>
      <c r="D6" s="6" t="s">
        <v>68</v>
      </c>
      <c r="E6" s="6"/>
      <c r="F6" s="6"/>
      <c r="G6" s="6"/>
      <c r="H6" s="6"/>
    </row>
    <row r="7" customFormat="false" ht="15" hidden="false" customHeight="true" outlineLevel="0" collapsed="false">
      <c r="A7" s="9" t="s">
        <v>69</v>
      </c>
      <c r="B7" s="9"/>
      <c r="C7" s="9"/>
      <c r="D7" s="6" t="s">
        <v>70</v>
      </c>
      <c r="E7" s="6"/>
      <c r="F7" s="6"/>
      <c r="G7" s="6"/>
      <c r="H7" s="6"/>
    </row>
    <row r="8" customFormat="false" ht="15" hidden="false" customHeight="true" outlineLevel="0" collapsed="false">
      <c r="A8" s="9" t="s">
        <v>71</v>
      </c>
      <c r="B8" s="9"/>
      <c r="C8" s="9"/>
      <c r="D8" s="6" t="s">
        <v>72</v>
      </c>
      <c r="E8" s="6"/>
      <c r="F8" s="6"/>
      <c r="G8" s="6"/>
      <c r="H8" s="6"/>
    </row>
    <row r="9" customFormat="false" ht="15" hidden="false" customHeight="true" outlineLevel="0" collapsed="false">
      <c r="A9" s="9" t="s">
        <v>73</v>
      </c>
      <c r="B9" s="9"/>
      <c r="C9" s="9"/>
      <c r="D9" s="6" t="s">
        <v>74</v>
      </c>
      <c r="E9" s="6"/>
      <c r="F9" s="6"/>
      <c r="G9" s="6"/>
      <c r="H9" s="6"/>
    </row>
    <row r="11" customFormat="false" ht="15" hidden="false" customHeight="true" outlineLevel="0" collapsed="false">
      <c r="A11" s="9" t="s">
        <v>75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3" customFormat="false" ht="57.45" hidden="false" customHeight="false" outlineLevel="0" collapsed="false">
      <c r="A13" s="4" t="s">
        <v>76</v>
      </c>
      <c r="B13" s="4" t="s">
        <v>77</v>
      </c>
      <c r="C13" s="4" t="s">
        <v>78</v>
      </c>
      <c r="D13" s="4" t="s">
        <v>79</v>
      </c>
      <c r="E13" s="4" t="s">
        <v>80</v>
      </c>
      <c r="F13" s="4" t="s">
        <v>81</v>
      </c>
      <c r="G13" s="4" t="s">
        <v>82</v>
      </c>
      <c r="H13" s="4" t="s">
        <v>83</v>
      </c>
      <c r="I13" s="4" t="s">
        <v>84</v>
      </c>
      <c r="J13" s="4" t="s">
        <v>85</v>
      </c>
      <c r="K13" s="4" t="s">
        <v>86</v>
      </c>
      <c r="L13" s="4" t="s">
        <v>87</v>
      </c>
      <c r="M13" s="4" t="s">
        <v>88</v>
      </c>
      <c r="N13" s="10"/>
    </row>
    <row r="14" customFormat="false" ht="15" hidden="false" customHeight="true" outlineLevel="0" collapsed="false">
      <c r="A14" s="11" t="s">
        <v>89</v>
      </c>
      <c r="B14" s="2" t="s">
        <v>90</v>
      </c>
      <c r="C14" s="2" t="s">
        <v>91</v>
      </c>
      <c r="D14" s="2" t="s">
        <v>92</v>
      </c>
      <c r="E14" s="11" t="n">
        <v>1</v>
      </c>
      <c r="F14" s="2" t="s">
        <v>93</v>
      </c>
      <c r="G14" s="2" t="s">
        <v>94</v>
      </c>
      <c r="H14" s="2" t="s">
        <v>95</v>
      </c>
      <c r="I14" s="2" t="s">
        <v>96</v>
      </c>
      <c r="J14" s="7" t="s">
        <v>97</v>
      </c>
      <c r="K14" s="11"/>
      <c r="L14" s="11"/>
      <c r="M14" s="2" t="s">
        <v>98</v>
      </c>
    </row>
    <row r="15" customFormat="false" ht="35.05" hidden="false" customHeight="false" outlineLevel="0" collapsed="false">
      <c r="A15" s="11"/>
      <c r="B15" s="2"/>
      <c r="C15" s="2"/>
      <c r="D15" s="2"/>
      <c r="E15" s="11"/>
      <c r="F15" s="2"/>
      <c r="G15" s="2" t="s">
        <v>99</v>
      </c>
      <c r="H15" s="2"/>
      <c r="I15" s="2"/>
      <c r="J15" s="7"/>
      <c r="K15" s="7"/>
      <c r="L15" s="7"/>
      <c r="M15" s="2"/>
    </row>
    <row r="16" customFormat="false" ht="15" hidden="false" customHeight="false" outlineLevel="0" collapsed="false">
      <c r="A16" s="11"/>
      <c r="B16" s="2"/>
      <c r="C16" s="2"/>
      <c r="D16" s="2"/>
      <c r="E16" s="11"/>
      <c r="F16" s="2"/>
      <c r="G16" s="2" t="s">
        <v>100</v>
      </c>
      <c r="H16" s="2"/>
      <c r="I16" s="2"/>
      <c r="J16" s="7"/>
      <c r="K16" s="7"/>
      <c r="L16" s="7"/>
      <c r="M16" s="2"/>
    </row>
    <row r="17" customFormat="false" ht="15" hidden="false" customHeight="true" outlineLevel="0" collapsed="false">
      <c r="A17" s="12" t="s">
        <v>89</v>
      </c>
      <c r="B17" s="13" t="s">
        <v>90</v>
      </c>
      <c r="C17" s="13" t="s">
        <v>91</v>
      </c>
      <c r="D17" s="13" t="s">
        <v>92</v>
      </c>
      <c r="E17" s="12" t="n">
        <v>2</v>
      </c>
      <c r="F17" s="13" t="s">
        <v>101</v>
      </c>
      <c r="G17" s="13" t="s">
        <v>94</v>
      </c>
      <c r="H17" s="13" t="s">
        <v>102</v>
      </c>
      <c r="I17" s="13" t="s">
        <v>103</v>
      </c>
      <c r="J17" s="7" t="s">
        <v>97</v>
      </c>
      <c r="K17" s="12"/>
      <c r="L17" s="12"/>
      <c r="M17" s="13" t="s">
        <v>104</v>
      </c>
    </row>
    <row r="18" customFormat="false" ht="15" hidden="false" customHeight="false" outlineLevel="0" collapsed="false">
      <c r="A18" s="12"/>
      <c r="B18" s="13"/>
      <c r="C18" s="13"/>
      <c r="D18" s="13"/>
      <c r="E18" s="12"/>
      <c r="F18" s="13"/>
      <c r="G18" s="13" t="s">
        <v>105</v>
      </c>
      <c r="H18" s="13"/>
      <c r="I18" s="13"/>
      <c r="J18" s="7"/>
      <c r="K18" s="7"/>
      <c r="L18" s="7"/>
      <c r="M18" s="13"/>
    </row>
    <row r="19" customFormat="false" ht="23.85" hidden="false" customHeight="false" outlineLevel="0" collapsed="false">
      <c r="A19" s="12"/>
      <c r="B19" s="13"/>
      <c r="C19" s="13"/>
      <c r="D19" s="13"/>
      <c r="E19" s="12"/>
      <c r="F19" s="13"/>
      <c r="G19" s="13" t="s">
        <v>106</v>
      </c>
      <c r="H19" s="13"/>
      <c r="I19" s="13"/>
      <c r="J19" s="7"/>
      <c r="K19" s="7"/>
      <c r="L19" s="7"/>
      <c r="M19" s="13"/>
    </row>
    <row r="20" customFormat="false" ht="23.85" hidden="false" customHeight="true" outlineLevel="0" collapsed="false">
      <c r="A20" s="11" t="s">
        <v>89</v>
      </c>
      <c r="B20" s="2" t="s">
        <v>90</v>
      </c>
      <c r="C20" s="2" t="s">
        <v>91</v>
      </c>
      <c r="D20" s="2" t="s">
        <v>92</v>
      </c>
      <c r="E20" s="11" t="n">
        <v>3</v>
      </c>
      <c r="F20" s="2" t="s">
        <v>107</v>
      </c>
      <c r="G20" s="2" t="s">
        <v>108</v>
      </c>
      <c r="H20" s="2" t="s">
        <v>109</v>
      </c>
      <c r="I20" s="2" t="s">
        <v>110</v>
      </c>
      <c r="J20" s="7" t="s">
        <v>97</v>
      </c>
      <c r="K20" s="11"/>
      <c r="L20" s="11"/>
      <c r="M20" s="2" t="s">
        <v>111</v>
      </c>
    </row>
    <row r="21" customFormat="false" ht="35.05" hidden="false" customHeight="false" outlineLevel="0" collapsed="false">
      <c r="A21" s="11"/>
      <c r="B21" s="2"/>
      <c r="C21" s="2"/>
      <c r="D21" s="2"/>
      <c r="E21" s="11"/>
      <c r="F21" s="2"/>
      <c r="G21" s="2" t="s">
        <v>112</v>
      </c>
      <c r="H21" s="2"/>
      <c r="I21" s="2"/>
      <c r="J21" s="7"/>
      <c r="K21" s="7"/>
      <c r="L21" s="7"/>
      <c r="M21" s="2"/>
    </row>
    <row r="22" customFormat="false" ht="35.05" hidden="false" customHeight="true" outlineLevel="0" collapsed="false">
      <c r="A22" s="12" t="s">
        <v>89</v>
      </c>
      <c r="B22" s="13" t="s">
        <v>90</v>
      </c>
      <c r="C22" s="13" t="s">
        <v>91</v>
      </c>
      <c r="D22" s="13" t="s">
        <v>92</v>
      </c>
      <c r="E22" s="12" t="n">
        <v>4</v>
      </c>
      <c r="F22" s="13" t="s">
        <v>113</v>
      </c>
      <c r="G22" s="13" t="s">
        <v>114</v>
      </c>
      <c r="H22" s="13" t="s">
        <v>115</v>
      </c>
      <c r="I22" s="13" t="s">
        <v>116</v>
      </c>
      <c r="J22" s="7" t="s">
        <v>97</v>
      </c>
      <c r="K22" s="12"/>
      <c r="L22" s="12"/>
      <c r="M22" s="13" t="s">
        <v>117</v>
      </c>
    </row>
    <row r="23" customFormat="false" ht="23.85" hidden="false" customHeight="false" outlineLevel="0" collapsed="false">
      <c r="A23" s="12"/>
      <c r="B23" s="13"/>
      <c r="C23" s="13"/>
      <c r="D23" s="13"/>
      <c r="E23" s="12"/>
      <c r="F23" s="13"/>
      <c r="G23" s="13" t="s">
        <v>118</v>
      </c>
      <c r="H23" s="13"/>
      <c r="I23" s="13"/>
      <c r="J23" s="7"/>
      <c r="K23" s="7"/>
      <c r="L23" s="7"/>
      <c r="M23" s="13"/>
    </row>
    <row r="24" customFormat="false" ht="15" hidden="false" customHeight="true" outlineLevel="0" collapsed="false">
      <c r="A24" s="11" t="s">
        <v>119</v>
      </c>
      <c r="B24" s="2" t="s">
        <v>120</v>
      </c>
      <c r="C24" s="2" t="s">
        <v>91</v>
      </c>
      <c r="D24" s="2" t="s">
        <v>121</v>
      </c>
      <c r="E24" s="11" t="n">
        <v>5</v>
      </c>
      <c r="F24" s="2" t="s">
        <v>122</v>
      </c>
      <c r="G24" s="2" t="s">
        <v>123</v>
      </c>
      <c r="H24" s="2" t="s">
        <v>124</v>
      </c>
      <c r="I24" s="2" t="s">
        <v>125</v>
      </c>
      <c r="J24" s="7" t="s">
        <v>97</v>
      </c>
      <c r="K24" s="11"/>
      <c r="L24" s="11"/>
      <c r="M24" s="2" t="s">
        <v>126</v>
      </c>
    </row>
    <row r="25" customFormat="false" ht="15" hidden="false" customHeight="false" outlineLevel="0" collapsed="false">
      <c r="A25" s="11"/>
      <c r="B25" s="2"/>
      <c r="C25" s="2"/>
      <c r="D25" s="2"/>
      <c r="E25" s="11"/>
      <c r="F25" s="2"/>
      <c r="G25" s="2" t="s">
        <v>127</v>
      </c>
      <c r="H25" s="2"/>
      <c r="I25" s="2"/>
      <c r="J25" s="7"/>
      <c r="K25" s="7"/>
      <c r="L25" s="7"/>
      <c r="M25" s="2"/>
    </row>
    <row r="26" customFormat="false" ht="15" hidden="false" customHeight="false" outlineLevel="0" collapsed="false">
      <c r="A26" s="11"/>
      <c r="B26" s="2"/>
      <c r="C26" s="2"/>
      <c r="D26" s="2"/>
      <c r="E26" s="11"/>
      <c r="F26" s="2"/>
      <c r="G26" s="2" t="s">
        <v>128</v>
      </c>
      <c r="H26" s="2"/>
      <c r="I26" s="2"/>
      <c r="J26" s="7"/>
      <c r="K26" s="7"/>
      <c r="L26" s="7"/>
      <c r="M26" s="2"/>
    </row>
    <row r="27" customFormat="false" ht="35.05" hidden="false" customHeight="true" outlineLevel="0" collapsed="false">
      <c r="A27" s="12" t="s">
        <v>129</v>
      </c>
      <c r="B27" s="13" t="s">
        <v>120</v>
      </c>
      <c r="C27" s="13" t="s">
        <v>91</v>
      </c>
      <c r="D27" s="13" t="s">
        <v>130</v>
      </c>
      <c r="E27" s="12" t="n">
        <v>6</v>
      </c>
      <c r="F27" s="13" t="s">
        <v>131</v>
      </c>
      <c r="G27" s="13" t="s">
        <v>132</v>
      </c>
      <c r="H27" s="13" t="s">
        <v>133</v>
      </c>
      <c r="I27" s="13" t="s">
        <v>134</v>
      </c>
      <c r="J27" s="7" t="s">
        <v>97</v>
      </c>
      <c r="K27" s="12"/>
      <c r="L27" s="12"/>
      <c r="M27" s="13" t="s">
        <v>135</v>
      </c>
    </row>
    <row r="28" customFormat="false" ht="23.85" hidden="false" customHeight="false" outlineLevel="0" collapsed="false">
      <c r="A28" s="12"/>
      <c r="B28" s="13"/>
      <c r="C28" s="13"/>
      <c r="D28" s="13"/>
      <c r="E28" s="12"/>
      <c r="F28" s="13"/>
      <c r="G28" s="13" t="s">
        <v>136</v>
      </c>
      <c r="H28" s="13"/>
      <c r="I28" s="13"/>
      <c r="J28" s="7"/>
      <c r="K28" s="7"/>
      <c r="L28" s="7"/>
      <c r="M28" s="13"/>
    </row>
    <row r="29" customFormat="false" ht="23.85" hidden="false" customHeight="false" outlineLevel="0" collapsed="false">
      <c r="A29" s="12"/>
      <c r="B29" s="13"/>
      <c r="C29" s="13"/>
      <c r="D29" s="13"/>
      <c r="E29" s="12"/>
      <c r="F29" s="13"/>
      <c r="G29" s="13" t="s">
        <v>137</v>
      </c>
      <c r="H29" s="13"/>
      <c r="I29" s="13"/>
      <c r="J29" s="7"/>
      <c r="K29" s="7"/>
      <c r="L29" s="7"/>
      <c r="M29" s="13"/>
    </row>
    <row r="30" customFormat="false" ht="15" hidden="false" customHeight="true" outlineLevel="0" collapsed="false">
      <c r="A30" s="11" t="s">
        <v>119</v>
      </c>
      <c r="B30" s="2" t="s">
        <v>120</v>
      </c>
      <c r="C30" s="2" t="s">
        <v>91</v>
      </c>
      <c r="D30" s="2" t="s">
        <v>121</v>
      </c>
      <c r="E30" s="11" t="n">
        <v>7</v>
      </c>
      <c r="F30" s="2" t="s">
        <v>138</v>
      </c>
      <c r="G30" s="2" t="s">
        <v>123</v>
      </c>
      <c r="H30" s="2" t="s">
        <v>139</v>
      </c>
      <c r="I30" s="2" t="s">
        <v>140</v>
      </c>
      <c r="J30" s="7" t="s">
        <v>97</v>
      </c>
      <c r="K30" s="11"/>
      <c r="L30" s="11"/>
      <c r="M30" s="2" t="s">
        <v>141</v>
      </c>
    </row>
    <row r="31" customFormat="false" ht="23.85" hidden="false" customHeight="false" outlineLevel="0" collapsed="false">
      <c r="A31" s="11"/>
      <c r="B31" s="2"/>
      <c r="C31" s="2"/>
      <c r="D31" s="2"/>
      <c r="E31" s="11"/>
      <c r="F31" s="2"/>
      <c r="G31" s="2" t="s">
        <v>142</v>
      </c>
      <c r="H31" s="2"/>
      <c r="I31" s="2"/>
      <c r="J31" s="7"/>
      <c r="K31" s="7"/>
      <c r="L31" s="7"/>
      <c r="M31" s="2"/>
    </row>
    <row r="32" customFormat="false" ht="15" hidden="false" customHeight="false" outlineLevel="0" collapsed="false">
      <c r="A32" s="11"/>
      <c r="B32" s="2"/>
      <c r="C32" s="2"/>
      <c r="D32" s="2"/>
      <c r="E32" s="11"/>
      <c r="F32" s="2"/>
      <c r="G32" s="2" t="s">
        <v>128</v>
      </c>
      <c r="H32" s="2"/>
      <c r="I32" s="2"/>
      <c r="J32" s="7"/>
      <c r="K32" s="7"/>
      <c r="L32" s="7"/>
      <c r="M32" s="2"/>
    </row>
    <row r="33" customFormat="false" ht="15" hidden="false" customHeight="true" outlineLevel="0" collapsed="false">
      <c r="A33" s="12" t="s">
        <v>143</v>
      </c>
      <c r="B33" s="13" t="s">
        <v>144</v>
      </c>
      <c r="C33" s="13" t="s">
        <v>91</v>
      </c>
      <c r="D33" s="13" t="s">
        <v>145</v>
      </c>
      <c r="E33" s="12" t="n">
        <v>8</v>
      </c>
      <c r="F33" s="13" t="s">
        <v>146</v>
      </c>
      <c r="G33" s="13" t="s">
        <v>147</v>
      </c>
      <c r="H33" s="13" t="s">
        <v>148</v>
      </c>
      <c r="I33" s="13" t="s">
        <v>149</v>
      </c>
      <c r="J33" s="7" t="s">
        <v>97</v>
      </c>
      <c r="K33" s="12"/>
      <c r="L33" s="12"/>
      <c r="M33" s="13" t="s">
        <v>150</v>
      </c>
    </row>
    <row r="34" customFormat="false" ht="15" hidden="false" customHeight="false" outlineLevel="0" collapsed="false">
      <c r="A34" s="12"/>
      <c r="B34" s="13"/>
      <c r="C34" s="13"/>
      <c r="D34" s="13"/>
      <c r="E34" s="12"/>
      <c r="F34" s="13"/>
      <c r="G34" s="13" t="s">
        <v>151</v>
      </c>
      <c r="H34" s="13"/>
      <c r="I34" s="13"/>
      <c r="J34" s="7"/>
      <c r="K34" s="7"/>
      <c r="L34" s="7"/>
      <c r="M34" s="13"/>
    </row>
    <row r="35" customFormat="false" ht="15" hidden="false" customHeight="true" outlineLevel="0" collapsed="false">
      <c r="A35" s="11" t="s">
        <v>152</v>
      </c>
      <c r="B35" s="2" t="s">
        <v>153</v>
      </c>
      <c r="C35" s="2" t="s">
        <v>154</v>
      </c>
      <c r="D35" s="2" t="s">
        <v>155</v>
      </c>
      <c r="E35" s="11" t="n">
        <v>9</v>
      </c>
      <c r="F35" s="2" t="s">
        <v>156</v>
      </c>
      <c r="G35" s="2" t="s">
        <v>157</v>
      </c>
      <c r="H35" s="2" t="s">
        <v>158</v>
      </c>
      <c r="I35" s="2" t="s">
        <v>159</v>
      </c>
      <c r="J35" s="7" t="s">
        <v>97</v>
      </c>
      <c r="K35" s="11"/>
      <c r="L35" s="11"/>
      <c r="M35" s="2" t="s">
        <v>160</v>
      </c>
    </row>
    <row r="36" customFormat="false" ht="23.85" hidden="false" customHeight="false" outlineLevel="0" collapsed="false">
      <c r="A36" s="11"/>
      <c r="B36" s="2"/>
      <c r="C36" s="2"/>
      <c r="D36" s="2"/>
      <c r="E36" s="11"/>
      <c r="F36" s="2"/>
      <c r="G36" s="2" t="s">
        <v>161</v>
      </c>
      <c r="H36" s="2"/>
      <c r="I36" s="2"/>
      <c r="J36" s="7"/>
      <c r="K36" s="7"/>
      <c r="L36" s="7"/>
      <c r="M36" s="2"/>
    </row>
    <row r="37" customFormat="false" ht="23.85" hidden="false" customHeight="false" outlineLevel="0" collapsed="false">
      <c r="A37" s="11"/>
      <c r="B37" s="2"/>
      <c r="C37" s="2"/>
      <c r="D37" s="2"/>
      <c r="E37" s="11"/>
      <c r="F37" s="2"/>
      <c r="G37" s="2" t="s">
        <v>162</v>
      </c>
      <c r="H37" s="2"/>
      <c r="I37" s="2"/>
      <c r="J37" s="7"/>
      <c r="K37" s="7"/>
      <c r="L37" s="7"/>
      <c r="M37" s="2"/>
    </row>
    <row r="38" customFormat="false" ht="23.85" hidden="false" customHeight="true" outlineLevel="0" collapsed="false">
      <c r="A38" s="12" t="s">
        <v>152</v>
      </c>
      <c r="B38" s="13" t="s">
        <v>153</v>
      </c>
      <c r="C38" s="13" t="s">
        <v>154</v>
      </c>
      <c r="D38" s="13" t="s">
        <v>155</v>
      </c>
      <c r="E38" s="12" t="n">
        <v>10</v>
      </c>
      <c r="F38" s="13" t="s">
        <v>163</v>
      </c>
      <c r="G38" s="13" t="s">
        <v>164</v>
      </c>
      <c r="H38" s="13" t="s">
        <v>165</v>
      </c>
      <c r="I38" s="13" t="s">
        <v>166</v>
      </c>
      <c r="J38" s="7" t="s">
        <v>97</v>
      </c>
      <c r="K38" s="12"/>
      <c r="L38" s="12"/>
      <c r="M38" s="13" t="s">
        <v>167</v>
      </c>
    </row>
    <row r="39" customFormat="false" ht="15" hidden="false" customHeight="false" outlineLevel="0" collapsed="false">
      <c r="A39" s="12"/>
      <c r="B39" s="13"/>
      <c r="C39" s="13"/>
      <c r="D39" s="13"/>
      <c r="E39" s="12"/>
      <c r="F39" s="13"/>
      <c r="G39" s="13" t="s">
        <v>168</v>
      </c>
      <c r="H39" s="13"/>
      <c r="I39" s="13"/>
      <c r="J39" s="7"/>
      <c r="K39" s="7"/>
      <c r="L39" s="7"/>
      <c r="M39" s="13"/>
    </row>
    <row r="40" customFormat="false" ht="15" hidden="false" customHeight="false" outlineLevel="0" collapsed="false">
      <c r="A40" s="12"/>
      <c r="B40" s="13"/>
      <c r="C40" s="13"/>
      <c r="D40" s="13"/>
      <c r="E40" s="12"/>
      <c r="F40" s="13"/>
      <c r="G40" s="13" t="s">
        <v>169</v>
      </c>
      <c r="H40" s="13"/>
      <c r="I40" s="13"/>
      <c r="J40" s="7"/>
      <c r="K40" s="7"/>
      <c r="L40" s="7"/>
      <c r="M40" s="13"/>
    </row>
    <row r="41" customFormat="false" ht="15" hidden="false" customHeight="true" outlineLevel="0" collapsed="false">
      <c r="A41" s="11" t="s">
        <v>170</v>
      </c>
      <c r="B41" s="2" t="s">
        <v>171</v>
      </c>
      <c r="C41" s="2" t="s">
        <v>154</v>
      </c>
      <c r="D41" s="2" t="s">
        <v>172</v>
      </c>
      <c r="E41" s="11" t="n">
        <v>11</v>
      </c>
      <c r="F41" s="2" t="s">
        <v>173</v>
      </c>
      <c r="G41" s="2" t="s">
        <v>174</v>
      </c>
      <c r="H41" s="2" t="s">
        <v>175</v>
      </c>
      <c r="I41" s="2" t="s">
        <v>176</v>
      </c>
      <c r="J41" s="7" t="s">
        <v>97</v>
      </c>
      <c r="K41" s="11"/>
      <c r="L41" s="11"/>
      <c r="M41" s="2" t="s">
        <v>177</v>
      </c>
    </row>
    <row r="42" customFormat="false" ht="15" hidden="false" customHeight="false" outlineLevel="0" collapsed="false">
      <c r="A42" s="11"/>
      <c r="B42" s="2"/>
      <c r="C42" s="2"/>
      <c r="D42" s="2"/>
      <c r="E42" s="11"/>
      <c r="F42" s="2"/>
      <c r="G42" s="2" t="s">
        <v>178</v>
      </c>
      <c r="H42" s="2"/>
      <c r="I42" s="2"/>
      <c r="J42" s="7"/>
      <c r="K42" s="7"/>
      <c r="L42" s="7"/>
      <c r="M42" s="2"/>
    </row>
    <row r="43" customFormat="false" ht="23.85" hidden="false" customHeight="false" outlineLevel="0" collapsed="false">
      <c r="A43" s="11"/>
      <c r="B43" s="2"/>
      <c r="C43" s="2"/>
      <c r="D43" s="2"/>
      <c r="E43" s="11"/>
      <c r="F43" s="2"/>
      <c r="G43" s="2" t="s">
        <v>179</v>
      </c>
      <c r="H43" s="2"/>
      <c r="I43" s="2"/>
      <c r="J43" s="7"/>
      <c r="K43" s="7"/>
      <c r="L43" s="7"/>
      <c r="M43" s="2"/>
    </row>
    <row r="44" customFormat="false" ht="23.85" hidden="false" customHeight="true" outlineLevel="0" collapsed="false">
      <c r="A44" s="12" t="s">
        <v>170</v>
      </c>
      <c r="B44" s="13" t="s">
        <v>171</v>
      </c>
      <c r="C44" s="13" t="s">
        <v>154</v>
      </c>
      <c r="D44" s="13" t="s">
        <v>172</v>
      </c>
      <c r="E44" s="12" t="n">
        <v>12</v>
      </c>
      <c r="F44" s="13" t="s">
        <v>180</v>
      </c>
      <c r="G44" s="13" t="s">
        <v>181</v>
      </c>
      <c r="H44" s="13" t="s">
        <v>182</v>
      </c>
      <c r="I44" s="13" t="s">
        <v>183</v>
      </c>
      <c r="J44" s="7" t="s">
        <v>97</v>
      </c>
      <c r="K44" s="12"/>
      <c r="L44" s="12"/>
      <c r="M44" s="13" t="s">
        <v>184</v>
      </c>
    </row>
    <row r="45" customFormat="false" ht="23.85" hidden="false" customHeight="false" outlineLevel="0" collapsed="false">
      <c r="A45" s="12"/>
      <c r="B45" s="13"/>
      <c r="C45" s="13"/>
      <c r="D45" s="13"/>
      <c r="E45" s="12"/>
      <c r="F45" s="13"/>
      <c r="G45" s="13" t="s">
        <v>185</v>
      </c>
      <c r="H45" s="13"/>
      <c r="I45" s="13"/>
      <c r="J45" s="7"/>
      <c r="K45" s="7"/>
      <c r="L45" s="7"/>
      <c r="M45" s="13"/>
    </row>
    <row r="46" customFormat="false" ht="15" hidden="false" customHeight="true" outlineLevel="0" collapsed="false">
      <c r="A46" s="11" t="s">
        <v>186</v>
      </c>
      <c r="B46" s="2" t="s">
        <v>187</v>
      </c>
      <c r="C46" s="2" t="s">
        <v>188</v>
      </c>
      <c r="D46" s="2" t="s">
        <v>189</v>
      </c>
      <c r="E46" s="11" t="n">
        <v>13</v>
      </c>
      <c r="F46" s="2" t="s">
        <v>190</v>
      </c>
      <c r="G46" s="2" t="s">
        <v>191</v>
      </c>
      <c r="H46" s="2" t="s">
        <v>192</v>
      </c>
      <c r="I46" s="2" t="s">
        <v>193</v>
      </c>
      <c r="J46" s="7" t="s">
        <v>97</v>
      </c>
      <c r="K46" s="11"/>
      <c r="L46" s="11"/>
      <c r="M46" s="2" t="s">
        <v>194</v>
      </c>
    </row>
    <row r="47" customFormat="false" ht="15" hidden="false" customHeight="false" outlineLevel="0" collapsed="false">
      <c r="A47" s="11"/>
      <c r="B47" s="2"/>
      <c r="C47" s="2"/>
      <c r="D47" s="2"/>
      <c r="E47" s="11"/>
      <c r="F47" s="2"/>
      <c r="G47" s="2" t="s">
        <v>195</v>
      </c>
      <c r="H47" s="2"/>
      <c r="I47" s="2"/>
      <c r="J47" s="7"/>
      <c r="K47" s="7"/>
      <c r="L47" s="7"/>
      <c r="M47" s="2"/>
    </row>
    <row r="48" customFormat="false" ht="23.85" hidden="false" customHeight="false" outlineLevel="0" collapsed="false">
      <c r="A48" s="11"/>
      <c r="B48" s="2"/>
      <c r="C48" s="2"/>
      <c r="D48" s="2"/>
      <c r="E48" s="11"/>
      <c r="F48" s="2"/>
      <c r="G48" s="2" t="s">
        <v>196</v>
      </c>
      <c r="H48" s="2"/>
      <c r="I48" s="2"/>
      <c r="J48" s="7"/>
      <c r="K48" s="7"/>
      <c r="L48" s="7"/>
      <c r="M48" s="2"/>
    </row>
    <row r="49" customFormat="false" ht="15" hidden="false" customHeight="true" outlineLevel="0" collapsed="false">
      <c r="A49" s="12" t="s">
        <v>186</v>
      </c>
      <c r="B49" s="13" t="s">
        <v>197</v>
      </c>
      <c r="C49" s="13" t="s">
        <v>188</v>
      </c>
      <c r="D49" s="13" t="s">
        <v>189</v>
      </c>
      <c r="E49" s="12" t="n">
        <v>14</v>
      </c>
      <c r="F49" s="13" t="s">
        <v>198</v>
      </c>
      <c r="G49" s="13" t="s">
        <v>199</v>
      </c>
      <c r="H49" s="13" t="s">
        <v>200</v>
      </c>
      <c r="I49" s="13" t="s">
        <v>201</v>
      </c>
      <c r="J49" s="7" t="s">
        <v>97</v>
      </c>
      <c r="K49" s="12"/>
      <c r="L49" s="12"/>
      <c r="M49" s="13" t="s">
        <v>202</v>
      </c>
    </row>
    <row r="50" customFormat="false" ht="15" hidden="false" customHeight="false" outlineLevel="0" collapsed="false">
      <c r="A50" s="12"/>
      <c r="B50" s="13"/>
      <c r="C50" s="13"/>
      <c r="D50" s="13"/>
      <c r="E50" s="12"/>
      <c r="F50" s="13"/>
      <c r="G50" s="13" t="s">
        <v>203</v>
      </c>
      <c r="H50" s="13"/>
      <c r="I50" s="13"/>
      <c r="J50" s="7"/>
      <c r="K50" s="7"/>
      <c r="L50" s="7"/>
      <c r="M50" s="13"/>
    </row>
    <row r="51" customFormat="false" ht="23.85" hidden="false" customHeight="false" outlineLevel="0" collapsed="false">
      <c r="A51" s="12"/>
      <c r="B51" s="13"/>
      <c r="C51" s="13"/>
      <c r="D51" s="13"/>
      <c r="E51" s="12"/>
      <c r="F51" s="13"/>
      <c r="G51" s="13" t="s">
        <v>204</v>
      </c>
      <c r="H51" s="13"/>
      <c r="I51" s="13"/>
      <c r="J51" s="7"/>
      <c r="K51" s="7"/>
      <c r="L51" s="7"/>
      <c r="M51" s="13"/>
    </row>
    <row r="52" customFormat="false" ht="15" hidden="false" customHeight="true" outlineLevel="0" collapsed="false">
      <c r="A52" s="11" t="s">
        <v>205</v>
      </c>
      <c r="B52" s="2" t="s">
        <v>206</v>
      </c>
      <c r="C52" s="2" t="s">
        <v>188</v>
      </c>
      <c r="D52" s="2" t="s">
        <v>207</v>
      </c>
      <c r="E52" s="11" t="n">
        <v>15</v>
      </c>
      <c r="F52" s="2" t="s">
        <v>208</v>
      </c>
      <c r="G52" s="2" t="s">
        <v>209</v>
      </c>
      <c r="H52" s="2" t="s">
        <v>210</v>
      </c>
      <c r="I52" s="2" t="s">
        <v>211</v>
      </c>
      <c r="J52" s="7" t="s">
        <v>97</v>
      </c>
      <c r="K52" s="11"/>
      <c r="L52" s="11"/>
      <c r="M52" s="2" t="s">
        <v>212</v>
      </c>
    </row>
    <row r="53" customFormat="false" ht="23.85" hidden="false" customHeight="false" outlineLevel="0" collapsed="false">
      <c r="A53" s="11"/>
      <c r="B53" s="2"/>
      <c r="C53" s="2"/>
      <c r="D53" s="2"/>
      <c r="E53" s="11"/>
      <c r="F53" s="2"/>
      <c r="G53" s="2" t="s">
        <v>213</v>
      </c>
      <c r="H53" s="2"/>
      <c r="I53" s="2"/>
      <c r="J53" s="7"/>
      <c r="K53" s="7"/>
      <c r="L53" s="7"/>
      <c r="M53" s="2"/>
    </row>
    <row r="54" customFormat="false" ht="23.85" hidden="false" customHeight="false" outlineLevel="0" collapsed="false">
      <c r="A54" s="11"/>
      <c r="B54" s="2"/>
      <c r="C54" s="2"/>
      <c r="D54" s="2"/>
      <c r="E54" s="11"/>
      <c r="F54" s="2"/>
      <c r="G54" s="2" t="s">
        <v>214</v>
      </c>
      <c r="H54" s="2"/>
      <c r="I54" s="2"/>
      <c r="J54" s="7"/>
      <c r="K54" s="7"/>
      <c r="L54" s="7"/>
      <c r="M54" s="2"/>
    </row>
    <row r="55" customFormat="false" ht="15" hidden="false" customHeight="true" outlineLevel="0" collapsed="false">
      <c r="A55" s="12" t="s">
        <v>186</v>
      </c>
      <c r="B55" s="13" t="s">
        <v>215</v>
      </c>
      <c r="C55" s="13" t="s">
        <v>188</v>
      </c>
      <c r="D55" s="13" t="s">
        <v>216</v>
      </c>
      <c r="E55" s="12" t="n">
        <v>16</v>
      </c>
      <c r="F55" s="13" t="s">
        <v>217</v>
      </c>
      <c r="G55" s="13" t="s">
        <v>218</v>
      </c>
      <c r="H55" s="13" t="s">
        <v>219</v>
      </c>
      <c r="I55" s="13" t="s">
        <v>220</v>
      </c>
      <c r="J55" s="7" t="s">
        <v>97</v>
      </c>
      <c r="K55" s="12"/>
      <c r="L55" s="12"/>
      <c r="M55" s="13" t="s">
        <v>221</v>
      </c>
    </row>
    <row r="56" customFormat="false" ht="23.85" hidden="false" customHeight="false" outlineLevel="0" collapsed="false">
      <c r="A56" s="12"/>
      <c r="B56" s="13"/>
      <c r="C56" s="13"/>
      <c r="D56" s="13"/>
      <c r="E56" s="12"/>
      <c r="F56" s="13"/>
      <c r="G56" s="13" t="s">
        <v>222</v>
      </c>
      <c r="H56" s="13"/>
      <c r="I56" s="13"/>
      <c r="J56" s="7"/>
      <c r="K56" s="7"/>
      <c r="L56" s="7"/>
      <c r="M56" s="13"/>
    </row>
    <row r="57" customFormat="false" ht="23.85" hidden="false" customHeight="false" outlineLevel="0" collapsed="false">
      <c r="A57" s="12"/>
      <c r="B57" s="13"/>
      <c r="C57" s="13"/>
      <c r="D57" s="13"/>
      <c r="E57" s="12"/>
      <c r="F57" s="13"/>
      <c r="G57" s="13" t="s">
        <v>223</v>
      </c>
      <c r="H57" s="13"/>
      <c r="I57" s="13"/>
      <c r="J57" s="7"/>
      <c r="K57" s="7"/>
      <c r="L57" s="7"/>
      <c r="M57" s="13"/>
    </row>
    <row r="58" customFormat="false" ht="15" hidden="false" customHeight="true" outlineLevel="0" collapsed="false">
      <c r="A58" s="11" t="s">
        <v>224</v>
      </c>
      <c r="B58" s="2" t="s">
        <v>225</v>
      </c>
      <c r="C58" s="2" t="s">
        <v>226</v>
      </c>
      <c r="D58" s="2" t="s">
        <v>227</v>
      </c>
      <c r="E58" s="11" t="n">
        <v>17</v>
      </c>
      <c r="F58" s="2" t="s">
        <v>228</v>
      </c>
      <c r="G58" s="2" t="s">
        <v>229</v>
      </c>
      <c r="H58" s="2" t="s">
        <v>230</v>
      </c>
      <c r="I58" s="2" t="s">
        <v>231</v>
      </c>
      <c r="J58" s="7" t="s">
        <v>97</v>
      </c>
      <c r="K58" s="11"/>
      <c r="L58" s="11"/>
      <c r="M58" s="2" t="s">
        <v>232</v>
      </c>
    </row>
    <row r="59" customFormat="false" ht="23.85" hidden="false" customHeight="false" outlineLevel="0" collapsed="false">
      <c r="A59" s="11"/>
      <c r="B59" s="2"/>
      <c r="C59" s="2"/>
      <c r="D59" s="2"/>
      <c r="E59" s="11"/>
      <c r="F59" s="2"/>
      <c r="G59" s="2" t="s">
        <v>233</v>
      </c>
      <c r="H59" s="2"/>
      <c r="I59" s="2"/>
      <c r="J59" s="7"/>
      <c r="K59" s="7"/>
      <c r="L59" s="7"/>
      <c r="M59" s="2"/>
    </row>
    <row r="60" customFormat="false" ht="23.85" hidden="false" customHeight="true" outlineLevel="0" collapsed="false">
      <c r="A60" s="12" t="s">
        <v>234</v>
      </c>
      <c r="B60" s="13" t="s">
        <v>235</v>
      </c>
      <c r="C60" s="13" t="s">
        <v>226</v>
      </c>
      <c r="D60" s="13" t="s">
        <v>155</v>
      </c>
      <c r="E60" s="12" t="n">
        <v>18</v>
      </c>
      <c r="F60" s="13" t="s">
        <v>236</v>
      </c>
      <c r="G60" s="13" t="s">
        <v>237</v>
      </c>
      <c r="H60" s="13" t="s">
        <v>238</v>
      </c>
      <c r="I60" s="13" t="s">
        <v>239</v>
      </c>
      <c r="J60" s="7" t="s">
        <v>97</v>
      </c>
      <c r="K60" s="12"/>
      <c r="L60" s="12"/>
      <c r="M60" s="13" t="s">
        <v>240</v>
      </c>
    </row>
    <row r="61" customFormat="false" ht="23.85" hidden="false" customHeight="false" outlineLevel="0" collapsed="false">
      <c r="A61" s="12"/>
      <c r="B61" s="13"/>
      <c r="C61" s="13"/>
      <c r="D61" s="13"/>
      <c r="E61" s="12"/>
      <c r="F61" s="13"/>
      <c r="G61" s="13" t="s">
        <v>241</v>
      </c>
      <c r="H61" s="13"/>
      <c r="I61" s="13"/>
      <c r="J61" s="7"/>
      <c r="K61" s="7"/>
      <c r="L61" s="7"/>
      <c r="M61" s="13"/>
    </row>
    <row r="62" customFormat="false" ht="23.85" hidden="false" customHeight="true" outlineLevel="0" collapsed="false">
      <c r="A62" s="11" t="s">
        <v>242</v>
      </c>
      <c r="B62" s="2" t="s">
        <v>243</v>
      </c>
      <c r="C62" s="2" t="s">
        <v>226</v>
      </c>
      <c r="D62" s="2" t="s">
        <v>172</v>
      </c>
      <c r="E62" s="11" t="n">
        <v>19</v>
      </c>
      <c r="F62" s="2" t="s">
        <v>244</v>
      </c>
      <c r="G62" s="2" t="s">
        <v>245</v>
      </c>
      <c r="H62" s="2" t="s">
        <v>246</v>
      </c>
      <c r="I62" s="2" t="s">
        <v>247</v>
      </c>
      <c r="J62" s="7" t="s">
        <v>97</v>
      </c>
      <c r="K62" s="11"/>
      <c r="L62" s="11"/>
      <c r="M62" s="2" t="s">
        <v>248</v>
      </c>
    </row>
    <row r="63" customFormat="false" ht="15" hidden="false" customHeight="false" outlineLevel="0" collapsed="false">
      <c r="A63" s="11"/>
      <c r="B63" s="2"/>
      <c r="C63" s="2"/>
      <c r="D63" s="2"/>
      <c r="E63" s="11"/>
      <c r="F63" s="2"/>
      <c r="G63" s="2" t="s">
        <v>249</v>
      </c>
      <c r="H63" s="2"/>
      <c r="I63" s="2"/>
      <c r="J63" s="7"/>
      <c r="K63" s="7"/>
      <c r="L63" s="7"/>
      <c r="M63" s="2"/>
    </row>
    <row r="64" customFormat="false" ht="15" hidden="false" customHeight="false" outlineLevel="0" collapsed="false">
      <c r="A64" s="11"/>
      <c r="B64" s="2"/>
      <c r="C64" s="2"/>
      <c r="D64" s="2"/>
      <c r="E64" s="11"/>
      <c r="F64" s="2"/>
      <c r="G64" s="2" t="s">
        <v>250</v>
      </c>
      <c r="H64" s="2"/>
      <c r="I64" s="2"/>
      <c r="J64" s="7"/>
      <c r="K64" s="7"/>
      <c r="L64" s="7"/>
      <c r="M64" s="2"/>
    </row>
    <row r="65" customFormat="false" ht="15" hidden="false" customHeight="true" outlineLevel="0" collapsed="false">
      <c r="A65" s="12" t="s">
        <v>251</v>
      </c>
      <c r="B65" s="13" t="s">
        <v>252</v>
      </c>
      <c r="C65" s="13" t="s">
        <v>226</v>
      </c>
      <c r="D65" s="13" t="s">
        <v>253</v>
      </c>
      <c r="E65" s="12" t="n">
        <v>20</v>
      </c>
      <c r="F65" s="13" t="s">
        <v>254</v>
      </c>
      <c r="G65" s="13" t="s">
        <v>255</v>
      </c>
      <c r="H65" s="13" t="s">
        <v>256</v>
      </c>
      <c r="I65" s="13" t="s">
        <v>257</v>
      </c>
      <c r="J65" s="7" t="s">
        <v>97</v>
      </c>
      <c r="K65" s="12"/>
      <c r="L65" s="12"/>
      <c r="M65" s="13" t="s">
        <v>258</v>
      </c>
    </row>
    <row r="66" customFormat="false" ht="15" hidden="false" customHeight="false" outlineLevel="0" collapsed="false">
      <c r="A66" s="12"/>
      <c r="B66" s="13"/>
      <c r="C66" s="13"/>
      <c r="D66" s="13"/>
      <c r="E66" s="12"/>
      <c r="F66" s="13"/>
      <c r="G66" s="13" t="s">
        <v>259</v>
      </c>
      <c r="H66" s="13"/>
      <c r="I66" s="13"/>
      <c r="J66" s="7"/>
      <c r="K66" s="7"/>
      <c r="L66" s="7"/>
      <c r="M66" s="13"/>
    </row>
    <row r="67" customFormat="false" ht="23.85" hidden="false" customHeight="false" outlineLevel="0" collapsed="false">
      <c r="A67" s="12"/>
      <c r="B67" s="13"/>
      <c r="C67" s="13"/>
      <c r="D67" s="13"/>
      <c r="E67" s="12"/>
      <c r="F67" s="13"/>
      <c r="G67" s="13" t="s">
        <v>260</v>
      </c>
      <c r="H67" s="13"/>
      <c r="I67" s="13"/>
      <c r="J67" s="7"/>
      <c r="K67" s="7"/>
      <c r="L67" s="7"/>
      <c r="M67" s="13"/>
    </row>
  </sheetData>
  <mergeCells count="254">
    <mergeCell ref="A2:N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1:N11"/>
    <mergeCell ref="A14:A16"/>
    <mergeCell ref="B14:B16"/>
    <mergeCell ref="C14:C16"/>
    <mergeCell ref="D14:D16"/>
    <mergeCell ref="E14:E16"/>
    <mergeCell ref="F14:F16"/>
    <mergeCell ref="H14:H16"/>
    <mergeCell ref="I14:I16"/>
    <mergeCell ref="J14:J16"/>
    <mergeCell ref="K14:K16"/>
    <mergeCell ref="L14:L16"/>
    <mergeCell ref="M14:M16"/>
    <mergeCell ref="A17:A19"/>
    <mergeCell ref="B17:B19"/>
    <mergeCell ref="C17:C19"/>
    <mergeCell ref="D17:D19"/>
    <mergeCell ref="E17:E19"/>
    <mergeCell ref="F17:F19"/>
    <mergeCell ref="H17:H19"/>
    <mergeCell ref="I17:I19"/>
    <mergeCell ref="J17:J19"/>
    <mergeCell ref="K17:K19"/>
    <mergeCell ref="L17:L19"/>
    <mergeCell ref="M17:M19"/>
    <mergeCell ref="A20:A21"/>
    <mergeCell ref="B20:B21"/>
    <mergeCell ref="C20:C21"/>
    <mergeCell ref="D20:D21"/>
    <mergeCell ref="E20:E21"/>
    <mergeCell ref="F20:F21"/>
    <mergeCell ref="H20:H21"/>
    <mergeCell ref="I20:I21"/>
    <mergeCell ref="J20:J21"/>
    <mergeCell ref="K20:K21"/>
    <mergeCell ref="L20:L21"/>
    <mergeCell ref="M20:M21"/>
    <mergeCell ref="A22:A23"/>
    <mergeCell ref="B22:B23"/>
    <mergeCell ref="C22:C23"/>
    <mergeCell ref="D22:D23"/>
    <mergeCell ref="E22:E23"/>
    <mergeCell ref="F22:F23"/>
    <mergeCell ref="H22:H23"/>
    <mergeCell ref="I22:I23"/>
    <mergeCell ref="J22:J23"/>
    <mergeCell ref="K22:K23"/>
    <mergeCell ref="L22:L23"/>
    <mergeCell ref="M22:M23"/>
    <mergeCell ref="A24:A26"/>
    <mergeCell ref="B24:B26"/>
    <mergeCell ref="C24:C26"/>
    <mergeCell ref="D24:D26"/>
    <mergeCell ref="E24:E26"/>
    <mergeCell ref="F24:F26"/>
    <mergeCell ref="H24:H26"/>
    <mergeCell ref="I24:I26"/>
    <mergeCell ref="J24:J26"/>
    <mergeCell ref="K24:K26"/>
    <mergeCell ref="L24:L26"/>
    <mergeCell ref="M24:M26"/>
    <mergeCell ref="A27:A29"/>
    <mergeCell ref="B27:B29"/>
    <mergeCell ref="C27:C29"/>
    <mergeCell ref="D27:D29"/>
    <mergeCell ref="E27:E29"/>
    <mergeCell ref="F27:F29"/>
    <mergeCell ref="H27:H29"/>
    <mergeCell ref="I27:I29"/>
    <mergeCell ref="J27:J29"/>
    <mergeCell ref="K27:K29"/>
    <mergeCell ref="L27:L29"/>
    <mergeCell ref="M27:M29"/>
    <mergeCell ref="A30:A32"/>
    <mergeCell ref="B30:B32"/>
    <mergeCell ref="C30:C32"/>
    <mergeCell ref="D30:D32"/>
    <mergeCell ref="E30:E32"/>
    <mergeCell ref="F30:F32"/>
    <mergeCell ref="H30:H32"/>
    <mergeCell ref="I30:I32"/>
    <mergeCell ref="J30:J32"/>
    <mergeCell ref="K30:K32"/>
    <mergeCell ref="L30:L32"/>
    <mergeCell ref="M30:M32"/>
    <mergeCell ref="A33:A34"/>
    <mergeCell ref="B33:B34"/>
    <mergeCell ref="C33:C34"/>
    <mergeCell ref="D33:D34"/>
    <mergeCell ref="E33:E34"/>
    <mergeCell ref="F33:F34"/>
    <mergeCell ref="H33:H34"/>
    <mergeCell ref="I33:I34"/>
    <mergeCell ref="J33:J34"/>
    <mergeCell ref="K33:K34"/>
    <mergeCell ref="L33:L34"/>
    <mergeCell ref="M33:M34"/>
    <mergeCell ref="A35:A37"/>
    <mergeCell ref="B35:B37"/>
    <mergeCell ref="C35:C37"/>
    <mergeCell ref="D35:D37"/>
    <mergeCell ref="E35:E37"/>
    <mergeCell ref="F35:F37"/>
    <mergeCell ref="H35:H37"/>
    <mergeCell ref="I35:I37"/>
    <mergeCell ref="J35:J37"/>
    <mergeCell ref="K35:K37"/>
    <mergeCell ref="L35:L37"/>
    <mergeCell ref="M35:M37"/>
    <mergeCell ref="A38:A40"/>
    <mergeCell ref="B38:B40"/>
    <mergeCell ref="C38:C40"/>
    <mergeCell ref="D38:D40"/>
    <mergeCell ref="E38:E40"/>
    <mergeCell ref="F38:F40"/>
    <mergeCell ref="H38:H40"/>
    <mergeCell ref="I38:I40"/>
    <mergeCell ref="J38:J40"/>
    <mergeCell ref="K38:K40"/>
    <mergeCell ref="L38:L40"/>
    <mergeCell ref="M38:M40"/>
    <mergeCell ref="A41:A43"/>
    <mergeCell ref="B41:B43"/>
    <mergeCell ref="C41:C43"/>
    <mergeCell ref="D41:D43"/>
    <mergeCell ref="E41:E43"/>
    <mergeCell ref="F41:F43"/>
    <mergeCell ref="H41:H43"/>
    <mergeCell ref="I41:I43"/>
    <mergeCell ref="J41:J43"/>
    <mergeCell ref="K41:K43"/>
    <mergeCell ref="L41:L43"/>
    <mergeCell ref="M41:M43"/>
    <mergeCell ref="A44:A45"/>
    <mergeCell ref="B44:B45"/>
    <mergeCell ref="C44:C45"/>
    <mergeCell ref="D44:D45"/>
    <mergeCell ref="E44:E45"/>
    <mergeCell ref="F44:F45"/>
    <mergeCell ref="H44:H45"/>
    <mergeCell ref="I44:I45"/>
    <mergeCell ref="J44:J45"/>
    <mergeCell ref="K44:K45"/>
    <mergeCell ref="L44:L45"/>
    <mergeCell ref="M44:M45"/>
    <mergeCell ref="A46:A48"/>
    <mergeCell ref="B46:B48"/>
    <mergeCell ref="C46:C48"/>
    <mergeCell ref="D46:D48"/>
    <mergeCell ref="E46:E48"/>
    <mergeCell ref="F46:F48"/>
    <mergeCell ref="H46:H48"/>
    <mergeCell ref="I46:I48"/>
    <mergeCell ref="J46:J48"/>
    <mergeCell ref="K46:K48"/>
    <mergeCell ref="L46:L48"/>
    <mergeCell ref="M46:M48"/>
    <mergeCell ref="A49:A51"/>
    <mergeCell ref="B49:B51"/>
    <mergeCell ref="C49:C51"/>
    <mergeCell ref="D49:D51"/>
    <mergeCell ref="E49:E51"/>
    <mergeCell ref="F49:F51"/>
    <mergeCell ref="H49:H51"/>
    <mergeCell ref="I49:I51"/>
    <mergeCell ref="J49:J51"/>
    <mergeCell ref="K49:K51"/>
    <mergeCell ref="L49:L51"/>
    <mergeCell ref="M49:M51"/>
    <mergeCell ref="A52:A54"/>
    <mergeCell ref="B52:B54"/>
    <mergeCell ref="C52:C54"/>
    <mergeCell ref="D52:D54"/>
    <mergeCell ref="E52:E54"/>
    <mergeCell ref="F52:F54"/>
    <mergeCell ref="H52:H54"/>
    <mergeCell ref="I52:I54"/>
    <mergeCell ref="J52:J54"/>
    <mergeCell ref="K52:K54"/>
    <mergeCell ref="L52:L54"/>
    <mergeCell ref="M52:M54"/>
    <mergeCell ref="A55:A57"/>
    <mergeCell ref="B55:B57"/>
    <mergeCell ref="C55:C57"/>
    <mergeCell ref="D55:D57"/>
    <mergeCell ref="E55:E57"/>
    <mergeCell ref="F55:F57"/>
    <mergeCell ref="H55:H57"/>
    <mergeCell ref="I55:I57"/>
    <mergeCell ref="J55:J57"/>
    <mergeCell ref="K55:K57"/>
    <mergeCell ref="L55:L57"/>
    <mergeCell ref="M55:M57"/>
    <mergeCell ref="A58:A59"/>
    <mergeCell ref="B58:B59"/>
    <mergeCell ref="C58:C59"/>
    <mergeCell ref="D58:D59"/>
    <mergeCell ref="E58:E59"/>
    <mergeCell ref="F58:F59"/>
    <mergeCell ref="H58:H59"/>
    <mergeCell ref="I58:I59"/>
    <mergeCell ref="J58:J59"/>
    <mergeCell ref="K58:K59"/>
    <mergeCell ref="L58:L59"/>
    <mergeCell ref="M58:M59"/>
    <mergeCell ref="A60:A61"/>
    <mergeCell ref="B60:B61"/>
    <mergeCell ref="C60:C61"/>
    <mergeCell ref="D60:D61"/>
    <mergeCell ref="E60:E61"/>
    <mergeCell ref="F60:F61"/>
    <mergeCell ref="H60:H61"/>
    <mergeCell ref="I60:I61"/>
    <mergeCell ref="J60:J61"/>
    <mergeCell ref="K60:K61"/>
    <mergeCell ref="L60:L61"/>
    <mergeCell ref="M60:M61"/>
    <mergeCell ref="A62:A64"/>
    <mergeCell ref="B62:B64"/>
    <mergeCell ref="C62:C64"/>
    <mergeCell ref="D62:D64"/>
    <mergeCell ref="E62:E64"/>
    <mergeCell ref="F62:F64"/>
    <mergeCell ref="H62:H64"/>
    <mergeCell ref="I62:I64"/>
    <mergeCell ref="J62:J64"/>
    <mergeCell ref="K62:K64"/>
    <mergeCell ref="L62:L64"/>
    <mergeCell ref="M62:M64"/>
    <mergeCell ref="A65:A67"/>
    <mergeCell ref="B65:B67"/>
    <mergeCell ref="C65:C67"/>
    <mergeCell ref="D65:D67"/>
    <mergeCell ref="E65:E67"/>
    <mergeCell ref="F65:F67"/>
    <mergeCell ref="H65:H67"/>
    <mergeCell ref="I65:I67"/>
    <mergeCell ref="J65:J67"/>
    <mergeCell ref="K65:K67"/>
    <mergeCell ref="L65:L67"/>
    <mergeCell ref="M65:M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4"/>
  </cols>
  <sheetData>
    <row r="2" customFormat="false" ht="15" hidden="false" customHeight="true" outlineLevel="0" collapsed="false">
      <c r="B2" s="1" t="s">
        <v>261</v>
      </c>
      <c r="C2" s="1"/>
      <c r="D2" s="1"/>
    </row>
    <row r="4" customFormat="false" ht="15" hidden="false" customHeight="false" outlineLevel="0" collapsed="false">
      <c r="B4" s="9" t="s">
        <v>262</v>
      </c>
      <c r="C4" s="14" t="n">
        <f aca="false">COUNTIF('Pruebas Estandar'!D:D,"OK")</f>
        <v>26</v>
      </c>
    </row>
    <row r="5" customFormat="false" ht="15" hidden="false" customHeight="false" outlineLevel="0" collapsed="false">
      <c r="B5" s="9" t="s">
        <v>263</v>
      </c>
      <c r="C5" s="14" t="n">
        <f aca="false">COUNTIF('Pruebas Estandar'!D:D,"NC")</f>
        <v>0</v>
      </c>
    </row>
    <row r="6" customFormat="false" ht="15" hidden="false" customHeight="false" outlineLevel="0" collapsed="false">
      <c r="B6" s="9" t="s">
        <v>264</v>
      </c>
      <c r="C6" s="14" t="n">
        <f aca="false">COUNTIF('Pruebas Estandar'!D:D,"NA")</f>
        <v>0</v>
      </c>
    </row>
    <row r="9" customFormat="false" ht="15" hidden="false" customHeight="false" outlineLevel="0" collapsed="false">
      <c r="B9" s="9" t="s">
        <v>265</v>
      </c>
      <c r="C9" s="14" t="n">
        <f aca="false">COUNTA('Casos de Prueba'!E14:E67)</f>
        <v>20</v>
      </c>
    </row>
    <row r="10" customFormat="false" ht="15" hidden="false" customHeight="false" outlineLevel="0" collapsed="false">
      <c r="B10" s="9" t="s">
        <v>266</v>
      </c>
      <c r="C10" s="14" t="n">
        <f aca="false">COUNTIF('Casos de Prueba'!J14:J67,"X")</f>
        <v>20</v>
      </c>
    </row>
    <row r="11" customFormat="false" ht="15" hidden="false" customHeight="false" outlineLevel="0" collapsed="false">
      <c r="B11" s="9" t="s">
        <v>267</v>
      </c>
      <c r="C11" s="14" t="n">
        <f aca="false">COUNTIF('Casos de Prueba'!K14:K67,"X")</f>
        <v>0</v>
      </c>
    </row>
    <row r="12" customFormat="false" ht="15" hidden="false" customHeight="false" outlineLevel="0" collapsed="false">
      <c r="B12" s="9" t="s">
        <v>268</v>
      </c>
      <c r="C12" s="14" t="n">
        <f aca="false">COUNTIF('Casos de Prueba'!L14:L67,"X")</f>
        <v>0</v>
      </c>
    </row>
    <row r="13" customFormat="false" ht="15" hidden="false" customHeight="false" outlineLevel="0" collapsed="false">
      <c r="B13" s="9" t="s">
        <v>269</v>
      </c>
      <c r="C13" s="14" t="n">
        <f aca="false">C9-C10-C11-C12</f>
        <v>0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2026-06-18T01:31:47Z</dcterms:created>
  <dc:creator>openpyxl</dc:creator>
  <dc:description/>
  <dc:language>en-US</dc:language>
  <cp:lastModifiedBy/>
  <dcterms:modified xsi:type="dcterms:W3CDTF">2026-06-18T01:31:47Z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