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bbo\Downloads\"/>
    </mc:Choice>
  </mc:AlternateContent>
  <xr:revisionPtr revIDLastSave="0" documentId="13_ncr:1_{0769F44E-C4CD-4ED1-B8F9-0C0F286E5D2F}" xr6:coauthVersionLast="47" xr6:coauthVersionMax="47" xr10:uidLastSave="{00000000-0000-0000-0000-000000000000}"/>
  <bookViews>
    <workbookView xWindow="-120" yWindow="-120" windowWidth="29040" windowHeight="15720" tabRatio="500" xr2:uid="{00000000-000D-0000-FFFF-FFFF00000000}"/>
  </bookViews>
  <sheets>
    <sheet name="ProjectSchedule" sheetId="1" r:id="rId1"/>
    <sheet name="Acerca de" sheetId="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1" l="1"/>
  <c r="H32" i="1"/>
  <c r="H31" i="1"/>
  <c r="H30" i="1"/>
  <c r="H29" i="1"/>
  <c r="H28" i="1"/>
  <c r="H27" i="1"/>
  <c r="H26" i="1"/>
  <c r="H25" i="1"/>
  <c r="H24" i="1"/>
  <c r="H23" i="1"/>
  <c r="H22" i="1"/>
  <c r="H21" i="1"/>
  <c r="H20" i="1"/>
  <c r="H19" i="1"/>
  <c r="H18" i="1"/>
  <c r="H17" i="1"/>
  <c r="H16" i="1"/>
  <c r="H15" i="1"/>
  <c r="H14" i="1"/>
  <c r="H13" i="1"/>
  <c r="H12" i="1"/>
  <c r="H11" i="1"/>
  <c r="H10" i="1"/>
  <c r="H9" i="1"/>
  <c r="H8" i="1"/>
  <c r="H7" i="1"/>
  <c r="I5" i="1"/>
  <c r="J5" i="1" s="1"/>
  <c r="K5" i="1" l="1"/>
  <c r="J6" i="1"/>
  <c r="I6" i="1"/>
  <c r="I4" i="1"/>
  <c r="L5" i="1" l="1"/>
  <c r="K6" i="1"/>
  <c r="M5" i="1" l="1"/>
  <c r="L6" i="1"/>
  <c r="N5" i="1" l="1"/>
  <c r="M6" i="1"/>
  <c r="O5" i="1" l="1"/>
  <c r="N6" i="1"/>
  <c r="P5" i="1" l="1"/>
  <c r="O6" i="1"/>
  <c r="P4" i="1" l="1"/>
  <c r="P6" i="1"/>
  <c r="Q5" i="1"/>
  <c r="Q6" i="1" l="1"/>
  <c r="R5" i="1"/>
  <c r="R6" i="1" l="1"/>
  <c r="S5" i="1"/>
  <c r="S6" i="1" l="1"/>
  <c r="T5" i="1"/>
  <c r="T6" i="1" l="1"/>
  <c r="U5" i="1"/>
  <c r="V5" i="1" l="1"/>
  <c r="U6" i="1"/>
  <c r="V6" i="1" l="1"/>
  <c r="W5" i="1"/>
  <c r="W4" i="1" l="1"/>
  <c r="X5" i="1"/>
  <c r="W6" i="1"/>
  <c r="Y5" i="1" l="1"/>
  <c r="X6" i="1"/>
  <c r="Z5" i="1" l="1"/>
  <c r="Y6" i="1"/>
  <c r="AA5" i="1" l="1"/>
  <c r="Z6" i="1"/>
  <c r="AB5" i="1" l="1"/>
  <c r="AA6" i="1"/>
  <c r="AC5" i="1" l="1"/>
  <c r="AB6" i="1"/>
  <c r="AC6" i="1" l="1"/>
  <c r="AD5" i="1"/>
  <c r="AD6" i="1" l="1"/>
  <c r="AD4" i="1"/>
  <c r="AE5" i="1"/>
  <c r="AE6" i="1" l="1"/>
  <c r="AF5" i="1"/>
  <c r="AF6" i="1" l="1"/>
  <c r="AG5" i="1"/>
  <c r="AG6" i="1" l="1"/>
  <c r="AH5" i="1"/>
  <c r="AH6" i="1" l="1"/>
  <c r="AI5" i="1"/>
  <c r="AJ5" i="1" l="1"/>
  <c r="AI6" i="1"/>
  <c r="AJ6" i="1" l="1"/>
  <c r="AK5" i="1"/>
  <c r="AK4" i="1" l="1"/>
  <c r="AL5" i="1"/>
  <c r="AK6" i="1"/>
  <c r="AM5" i="1" l="1"/>
  <c r="AL6" i="1"/>
  <c r="AM6" i="1" l="1"/>
  <c r="AN5" i="1"/>
  <c r="AN6" i="1" l="1"/>
  <c r="AO5" i="1"/>
  <c r="AP5" i="1" l="1"/>
  <c r="AO6" i="1"/>
  <c r="AP6" i="1" l="1"/>
  <c r="AQ5" i="1"/>
  <c r="AQ6" i="1" l="1"/>
  <c r="AR5" i="1"/>
  <c r="AR6" i="1" l="1"/>
  <c r="AS5" i="1"/>
  <c r="AR4" i="1"/>
  <c r="AS6" i="1" l="1"/>
  <c r="AT5" i="1"/>
  <c r="AU5" i="1" l="1"/>
  <c r="AT6" i="1"/>
  <c r="AV5" i="1" l="1"/>
  <c r="AU6" i="1"/>
  <c r="AW5" i="1" l="1"/>
  <c r="AV6" i="1"/>
  <c r="AX5" i="1" l="1"/>
  <c r="AW6" i="1"/>
  <c r="AY5" i="1" l="1"/>
  <c r="AX6" i="1"/>
  <c r="AZ5" i="1" l="1"/>
  <c r="AY6" i="1"/>
  <c r="AY4" i="1"/>
  <c r="AZ6" i="1" l="1"/>
  <c r="BA5" i="1"/>
  <c r="BA6" i="1" l="1"/>
  <c r="BB5" i="1"/>
  <c r="BB6" i="1" l="1"/>
  <c r="BC5" i="1"/>
  <c r="BC6" i="1" l="1"/>
  <c r="BD5" i="1"/>
  <c r="BD6" i="1" l="1"/>
  <c r="BE5" i="1"/>
  <c r="BE6" i="1" l="1"/>
  <c r="BF5" i="1"/>
  <c r="BF6" i="1" l="1"/>
  <c r="BG5" i="1"/>
  <c r="BF4" i="1"/>
  <c r="BH5" i="1" l="1"/>
  <c r="BG6" i="1"/>
  <c r="BH6" i="1" l="1"/>
  <c r="BI5" i="1"/>
  <c r="BJ5" i="1" l="1"/>
  <c r="BI6" i="1"/>
  <c r="BK5" i="1" l="1"/>
  <c r="BJ6" i="1"/>
  <c r="BL5" i="1" l="1"/>
  <c r="BL6" i="1" s="1"/>
  <c r="BK6" i="1"/>
</calcChain>
</file>

<file path=xl/sharedStrings.xml><?xml version="1.0" encoding="utf-8"?>
<sst xmlns="http://schemas.openxmlformats.org/spreadsheetml/2006/main" count="70" uniqueCount="59">
  <si>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</si>
  <si>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Proyecto CFD Servicios - Agenda Online de Servicios de Limpieza</t>
  </si>
  <si>
    <t>GRÁFICO GANTT SIMPLE de Vertex42.com</t>
  </si>
  <si>
    <t>Escriba el nombre de la compañía en la celda B2.</t>
  </si>
  <si>
    <t>CFD Servicios</t>
  </si>
  <si>
    <t>https://www.vertex42.com/ExcelTemplates/simple-gantt-chart.html</t>
  </si>
  <si>
    <t>Escriba el nombre del responsable del proyecto en la celda B3. Escriba la fecha de comienzo del proyecto en la celda E3. Inicio del proyecto: la etiqueta se encuentra en la celda C3.</t>
  </si>
  <si>
    <t>Fernando Zárate</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</si>
  <si>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</si>
  <si>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</si>
  <si>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</si>
  <si>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</si>
  <si>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</si>
  <si>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</si>
  <si>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</si>
  <si>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</si>
  <si>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</si>
  <si>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</si>
  <si>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</si>
  <si>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</si>
  <si>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</si>
  <si>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1: Planificación y Análisis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</si>
  <si>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</si>
  <si>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Levantamiento de requerimientos y análisis del cliente</t>
  </si>
  <si>
    <t>Fernando / Gabriel</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</si>
  <si>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</si>
  <si>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Diseño de Base de Datos (MER/MR)</t>
  </si>
  <si>
    <t>Gabriel</t>
  </si>
  <si>
    <t>Diseño prototipo UI/UX (Figma)</t>
  </si>
  <si>
    <t>Fernando</t>
  </si>
  <si>
    <t>Configuración del entorno de desarrollo</t>
  </si>
  <si>
    <t>FASE 2: Desarrollo</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</si>
  <si>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</si>
  <si>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Desarrollo módulo catálogo de servicios y disponibilidad</t>
  </si>
  <si>
    <t>Gabriel / Fernando</t>
  </si>
  <si>
    <t>Desarrollo módulo agenda de horas y gestión de usuarios</t>
  </si>
  <si>
    <t>Integración pasarela de pago Transbank WebPay Plus</t>
  </si>
  <si>
    <t>Desarrollo módulo administración (Dashboard)</t>
  </si>
  <si>
    <t>FASE 3: Cierre</t>
  </si>
  <si>
    <t>Pruebas funcionales y corrección de errores</t>
  </si>
  <si>
    <t>Bloque de título fase de ejemplo</t>
  </si>
  <si>
    <t>Documentación técnica (Swagger UI)</t>
  </si>
  <si>
    <t>Despliegue en producción</t>
  </si>
  <si>
    <t>Presentación final al cliente y docente</t>
  </si>
  <si>
    <t>Esta es una fila vacía.</t>
  </si>
  <si>
    <t>Esta fila indica el final de la programación del proyecto. NO escriba nada en esta fila. 
Inserte nuevas filas encima de ésta para continuar creando la programación del proyecto.</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</si>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</sst>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C0A]d&quot; de &quot;mmmm&quot; de &quot;yyyy;@"/>
    <numFmt numFmtId="165" formatCode="ddd&quot;, &quot;m/d/yyyy"/>
    <numFmt numFmtId="166" formatCode="d"/>
    <numFmt numFmtId="167" formatCode="d\-m\-yy;@"/>
  </numFmts>
  <fonts count="28" x14ac:knownFonts="1">
    <font>
      <sz val="11"/>
      <color theme="1"/>
      <name val="Calibri"/>
      <family val="2"/>
      <charset val="1"/>
    </font>
    <font>
      <sz val="11"/>
      <color theme="0"/>
      <name val="Calibri"/>
      <family val="2"/>
      <charset val="1"/>
    </font>
    <font>
      <b/>
      <sz val="22"/>
      <color theme="1" tint="0.3498947111423078"/>
      <name val="Calibri"/>
      <family val="2"/>
      <charset val="1"/>
    </font>
    <font>
      <b/>
      <sz val="20"/>
      <color theme="4" tint="-0.249977111117893"/>
      <name val="Calibri"/>
      <family val="2"/>
      <charset val="1"/>
    </font>
    <font>
      <sz val="10"/>
      <name val="Calibri"/>
      <family val="2"/>
      <charset val="1"/>
    </font>
    <font>
      <b/>
      <sz val="11"/>
      <color rgb="FF0000FF"/>
      <name val="Calibri"/>
      <family val="2"/>
      <charset val="1"/>
    </font>
    <font>
      <sz val="14"/>
      <color theme="1"/>
      <name val="Calibri"/>
      <family val="2"/>
      <charset val="1"/>
    </font>
    <font>
      <sz val="10"/>
      <color rgb="FF0000FF"/>
      <name val="Arial"/>
      <family val="2"/>
      <charset val="1"/>
    </font>
    <font>
      <u/>
      <sz val="11"/>
      <color rgb="FF0000FF"/>
      <name val="Arial"/>
      <family val="2"/>
      <charset val="1"/>
    </font>
    <font>
      <sz val="9"/>
      <name val="Calibri"/>
      <family val="2"/>
      <charset val="1"/>
    </font>
    <font>
      <b/>
      <sz val="9"/>
      <color theme="0"/>
      <name val="Calibri"/>
      <family val="2"/>
      <charset val="1"/>
    </font>
    <font>
      <sz val="8"/>
      <color theme="0"/>
      <name val="Calibri"/>
      <family val="2"/>
      <charset val="1"/>
    </font>
    <font>
      <b/>
      <sz val="11"/>
      <color theme="1"/>
      <name val="Calibri"/>
      <family val="2"/>
      <charset val="1"/>
    </font>
    <font>
      <sz val="11"/>
      <name val="Calibri"/>
      <family val="2"/>
      <charset val="1"/>
    </font>
    <font>
      <i/>
      <sz val="9"/>
      <color theme="1"/>
      <name val="Calibri"/>
      <family val="2"/>
      <charset val="1"/>
    </font>
    <font>
      <sz val="10"/>
      <color theme="1" tint="0.49989318521683401"/>
      <name val="Calibri"/>
      <family val="2"/>
      <charset val="1"/>
    </font>
    <font>
      <b/>
      <sz val="11"/>
      <color theme="1" tint="0.49989318521683401"/>
      <name val="Calibri"/>
      <family val="2"/>
      <charset val="1"/>
    </font>
    <font>
      <sz val="10"/>
      <color theme="1" tint="0.49989318521683401"/>
      <name val="Arial"/>
      <family val="2"/>
      <charset val="1"/>
    </font>
    <font>
      <b/>
      <sz val="12"/>
      <color theme="1" tint="0.3498947111423078"/>
      <name val="Calibri"/>
      <family val="2"/>
      <charset val="1"/>
    </font>
    <font>
      <b/>
      <sz val="10"/>
      <name val="Calibri"/>
      <family val="2"/>
      <charset val="1"/>
    </font>
    <font>
      <sz val="11"/>
      <color rgb="FF0000FF"/>
      <name val="Calibri"/>
      <family val="2"/>
      <charset val="1"/>
    </font>
    <font>
      <sz val="11"/>
      <color theme="1" tint="0.49989318521683401"/>
      <name val="Calibri"/>
      <family val="2"/>
      <charset val="1"/>
    </font>
    <font>
      <b/>
      <sz val="16"/>
      <color theme="4" tint="-0.249977111117893"/>
      <name val="Calibri"/>
      <family val="2"/>
      <charset val="1"/>
    </font>
    <font>
      <sz val="20"/>
      <name val="Calibri"/>
      <family val="2"/>
      <charset val="1"/>
    </font>
    <font>
      <sz val="11"/>
      <color rgb="FF1D2129"/>
      <name val="Calibri"/>
      <family val="2"/>
      <charset val="1"/>
    </font>
    <font>
      <sz val="11"/>
      <color theme="1"/>
      <name val="Calibri"/>
      <family val="2"/>
      <charset val="1"/>
    </font>
    <font>
      <sz val="11"/>
      <color theme="1"/>
      <name val="Calibri"/>
      <family val="2"/>
    </font>
    <font>
      <b/>
      <sz val="11"/>
      <color theme="1"/>
      <name val="Calibri"/>
      <family val="2"/>
    </font>
  </fonts>
  <fills count="18">
    <fill>
      <patternFill patternType="none"/>
    </fill>
    <fill>
      <patternFill patternType="gray125"/>
    </fill>
    <fill>
      <patternFill patternType="solid">
        <fgColor theme="0" tint="-0.14999847407452621"/>
        <bgColor rgb="FFE6E0EC"/>
      </patternFill>
    </fill>
    <fill>
      <patternFill patternType="solid">
        <fgColor theme="1" tint="0.3498947111423078"/>
        <bgColor rgb="FF376092"/>
      </patternFill>
    </fill>
    <fill>
      <patternFill patternType="solid">
        <fgColor theme="4" tint="0.59987182226020086"/>
        <bgColor rgb="FFCCC1DA"/>
      </patternFill>
    </fill>
    <fill>
      <patternFill patternType="solid">
        <fgColor theme="4" tint="0.79989013336588644"/>
        <bgColor rgb="FFE6E0EC"/>
      </patternFill>
    </fill>
    <fill>
      <patternFill patternType="solid">
        <fgColor theme="5" tint="0.79989013336588644"/>
        <bgColor rgb="FFE6E0EC"/>
      </patternFill>
    </fill>
    <fill>
      <patternFill patternType="solid">
        <fgColor theme="6" tint="0.79989013336588644"/>
        <bgColor rgb="FFF2F2F2"/>
      </patternFill>
    </fill>
    <fill>
      <patternFill patternType="solid">
        <fgColor theme="7" tint="0.59987182226020086"/>
        <bgColor rgb="FFB9CDE5"/>
      </patternFill>
    </fill>
    <fill>
      <patternFill patternType="solid">
        <fgColor theme="7" tint="0.79989013336588644"/>
        <bgColor rgb="FFDCE6F2"/>
      </patternFill>
    </fill>
    <fill>
      <patternFill patternType="solid">
        <fgColor theme="0" tint="-4.9989318521683403E-2"/>
        <bgColor rgb="FFEBF1DE"/>
      </patternFill>
    </fill>
    <fill>
      <patternFill patternType="solid">
        <fgColor rgb="FFE6B8B7"/>
        <bgColor rgb="FFE6E0EC"/>
      </patternFill>
    </fill>
    <fill>
      <patternFill patternType="solid">
        <fgColor rgb="FFF2DCDB"/>
        <bgColor rgb="FFCCC1DA"/>
      </patternFill>
    </fill>
    <fill>
      <patternFill patternType="solid">
        <fgColor rgb="FFD8E4BC"/>
        <bgColor rgb="FFE6E0EC"/>
      </patternFill>
    </fill>
    <fill>
      <patternFill patternType="solid">
        <fgColor rgb="FFEBF1DE"/>
        <bgColor rgb="FFE6E0EC"/>
      </patternFill>
    </fill>
    <fill>
      <patternFill patternType="solid">
        <fgColor rgb="FFEBF1DE"/>
        <bgColor rgb="FFD9D9D9"/>
      </patternFill>
    </fill>
    <fill>
      <patternFill patternType="solid">
        <fgColor rgb="FFEBF1DE"/>
        <bgColor rgb="FFF2F2F2"/>
      </patternFill>
    </fill>
    <fill>
      <patternFill patternType="solid">
        <fgColor rgb="FFD8E4BC"/>
        <bgColor rgb="FFF2F2F2"/>
      </patternFill>
    </fill>
  </fills>
  <borders count="12">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s>
  <cellStyleXfs count="12">
    <xf numFmtId="0" fontId="0" fillId="0" borderId="0"/>
    <xf numFmtId="9" fontId="25" fillId="0" borderId="0"/>
    <xf numFmtId="0" fontId="8" fillId="0" borderId="0">
      <alignment vertical="top"/>
      <protection locked="0"/>
    </xf>
    <xf numFmtId="167" fontId="25" fillId="0" borderId="1">
      <alignment horizontal="center" vertical="center"/>
    </xf>
    <xf numFmtId="165" fontId="25" fillId="0" borderId="2">
      <alignment horizontal="center" vertical="center"/>
    </xf>
    <xf numFmtId="0" fontId="25" fillId="0" borderId="1">
      <alignment horizontal="center" vertical="center"/>
    </xf>
    <xf numFmtId="0" fontId="25" fillId="0" borderId="1">
      <alignment horizontal="left" vertical="center" indent="2"/>
    </xf>
    <xf numFmtId="0" fontId="1" fillId="0" borderId="0"/>
    <xf numFmtId="0" fontId="2" fillId="0" borderId="0"/>
    <xf numFmtId="0" fontId="6" fillId="0" borderId="0"/>
    <xf numFmtId="0" fontId="6" fillId="0" borderId="0">
      <alignment vertical="top"/>
    </xf>
    <xf numFmtId="0" fontId="25" fillId="0" borderId="0">
      <alignment horizontal="right" indent="1"/>
    </xf>
  </cellStyleXfs>
  <cellXfs count="112">
    <xf numFmtId="0" fontId="0" fillId="0" borderId="0" xfId="0"/>
    <xf numFmtId="0" fontId="1" fillId="0" borderId="0" xfId="7"/>
    <xf numFmtId="0" fontId="0" fillId="0" borderId="0" xfId="0" applyAlignment="1">
      <alignment horizontal="center"/>
    </xf>
    <xf numFmtId="0" fontId="1" fillId="0" borderId="0" xfId="7" applyAlignment="1">
      <alignment wrapText="1"/>
    </xf>
    <xf numFmtId="0" fontId="2" fillId="0" borderId="0" xfId="8" applyAlignment="1">
      <alignment horizontal="left"/>
    </xf>
    <xf numFmtId="0" fontId="3"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center" vertical="center"/>
    </xf>
    <xf numFmtId="0" fontId="5" fillId="0" borderId="0" xfId="0" applyFont="1"/>
    <xf numFmtId="0" fontId="6" fillId="0" borderId="0" xfId="9"/>
    <xf numFmtId="0" fontId="7" fillId="0" borderId="0" xfId="2" applyFont="1" applyProtection="1">
      <alignment vertical="top"/>
    </xf>
    <xf numFmtId="0" fontId="6" fillId="0" borderId="0" xfId="10">
      <alignment vertical="top"/>
    </xf>
    <xf numFmtId="0" fontId="0" fillId="0" borderId="2" xfId="0" applyBorder="1" applyAlignment="1">
      <alignment horizontal="center" vertical="center"/>
    </xf>
    <xf numFmtId="0" fontId="0" fillId="0" borderId="5" xfId="0" applyBorder="1"/>
    <xf numFmtId="166" fontId="9" fillId="2" borderId="6" xfId="0" applyNumberFormat="1" applyFont="1" applyFill="1" applyBorder="1" applyAlignment="1">
      <alignment horizontal="center" vertical="center"/>
    </xf>
    <xf numFmtId="166" fontId="9" fillId="2" borderId="0" xfId="0" applyNumberFormat="1" applyFont="1" applyFill="1" applyAlignment="1">
      <alignment horizontal="center" vertical="center"/>
    </xf>
    <xf numFmtId="166" fontId="9" fillId="2" borderId="3" xfId="0" applyNumberFormat="1" applyFont="1" applyFill="1" applyBorder="1" applyAlignment="1">
      <alignment horizontal="center" vertical="center"/>
    </xf>
    <xf numFmtId="0" fontId="10" fillId="3" borderId="7" xfId="0" applyFont="1" applyFill="1" applyBorder="1" applyAlignment="1">
      <alignment horizontal="left" vertical="center" indent="1"/>
    </xf>
    <xf numFmtId="0" fontId="10" fillId="3" borderId="7" xfId="0" applyFont="1" applyFill="1" applyBorder="1" applyAlignment="1">
      <alignment horizontal="center" vertical="center" wrapText="1"/>
    </xf>
    <xf numFmtId="0" fontId="11" fillId="3" borderId="8" xfId="0" applyFont="1" applyFill="1" applyBorder="1" applyAlignment="1">
      <alignment horizontal="center" vertical="center" shrinkToFit="1"/>
    </xf>
    <xf numFmtId="0" fontId="0" fillId="0" borderId="0" xfId="0" applyAlignment="1">
      <alignment wrapText="1"/>
    </xf>
    <xf numFmtId="0" fontId="0" fillId="0" borderId="9" xfId="0" applyBorder="1" applyAlignment="1">
      <alignment vertical="center"/>
    </xf>
    <xf numFmtId="0" fontId="12" fillId="4" borderId="1" xfId="0" applyFont="1" applyFill="1" applyBorder="1" applyAlignment="1">
      <alignment horizontal="left" vertical="center" indent="1"/>
    </xf>
    <xf numFmtId="0" fontId="25" fillId="4" borderId="1" xfId="5" applyFill="1">
      <alignment horizontal="center" vertical="center"/>
    </xf>
    <xf numFmtId="9" fontId="13" fillId="4" borderId="1" xfId="1" applyFont="1" applyFill="1" applyBorder="1" applyAlignment="1">
      <alignment horizontal="center" vertical="center"/>
    </xf>
    <xf numFmtId="167" fontId="0" fillId="4" borderId="1" xfId="0" applyNumberFormat="1" applyFill="1" applyBorder="1" applyAlignment="1">
      <alignment horizontal="center" vertical="center"/>
    </xf>
    <xf numFmtId="167" fontId="13" fillId="4" borderId="1" xfId="0" applyNumberFormat="1" applyFont="1" applyFill="1" applyBorder="1" applyAlignment="1">
      <alignment horizontal="center" vertical="center"/>
    </xf>
    <xf numFmtId="0" fontId="13" fillId="0" borderId="1" xfId="0" applyFont="1" applyBorder="1" applyAlignment="1">
      <alignment horizontal="center" vertical="center"/>
    </xf>
    <xf numFmtId="0" fontId="0" fillId="0" borderId="0" xfId="0" applyAlignment="1">
      <alignment vertical="center"/>
    </xf>
    <xf numFmtId="0" fontId="25" fillId="5" borderId="1" xfId="6" applyFill="1">
      <alignment horizontal="left" vertical="center" indent="2"/>
    </xf>
    <xf numFmtId="0" fontId="25" fillId="5" borderId="1" xfId="5" applyFill="1">
      <alignment horizontal="center" vertical="center"/>
    </xf>
    <xf numFmtId="9" fontId="13" fillId="5" borderId="1" xfId="1" applyFont="1" applyFill="1" applyBorder="1" applyAlignment="1">
      <alignment horizontal="center" vertical="center"/>
    </xf>
    <xf numFmtId="167" fontId="25" fillId="5" borderId="1" xfId="3" applyFill="1">
      <alignment horizontal="center" vertical="center"/>
    </xf>
    <xf numFmtId="0" fontId="0" fillId="0" borderId="9" xfId="0" applyBorder="1" applyAlignment="1">
      <alignment horizontal="right" vertical="center"/>
    </xf>
    <xf numFmtId="0" fontId="25" fillId="6" borderId="1" xfId="6" applyFill="1">
      <alignment horizontal="left" vertical="center" indent="2"/>
    </xf>
    <xf numFmtId="0" fontId="25" fillId="6" borderId="1" xfId="5" applyFill="1">
      <alignment horizontal="center" vertical="center"/>
    </xf>
    <xf numFmtId="9" fontId="13" fillId="6" borderId="1" xfId="1" applyFont="1" applyFill="1" applyBorder="1" applyAlignment="1">
      <alignment horizontal="center" vertical="center"/>
    </xf>
    <xf numFmtId="167" fontId="25" fillId="6" borderId="1" xfId="3" applyFill="1">
      <alignment horizontal="center" vertical="center"/>
    </xf>
    <xf numFmtId="0" fontId="25" fillId="7" borderId="1" xfId="6" applyFill="1">
      <alignment horizontal="left" vertical="center" indent="2"/>
    </xf>
    <xf numFmtId="0" fontId="25" fillId="7" borderId="1" xfId="5" applyFill="1">
      <alignment horizontal="center" vertical="center"/>
    </xf>
    <xf numFmtId="9" fontId="13" fillId="7" borderId="1" xfId="1" applyFont="1" applyFill="1" applyBorder="1" applyAlignment="1">
      <alignment horizontal="center" vertical="center"/>
    </xf>
    <xf numFmtId="167" fontId="25" fillId="7" borderId="1" xfId="3" applyFill="1">
      <alignment horizontal="center" vertical="center"/>
    </xf>
    <xf numFmtId="0" fontId="12" fillId="8" borderId="1" xfId="0" applyFont="1" applyFill="1" applyBorder="1" applyAlignment="1">
      <alignment horizontal="left" vertical="center" indent="1"/>
    </xf>
    <xf numFmtId="0" fontId="25" fillId="8" borderId="1" xfId="5" applyFill="1">
      <alignment horizontal="center" vertical="center"/>
    </xf>
    <xf numFmtId="9" fontId="13" fillId="8" borderId="1" xfId="1" applyFont="1" applyFill="1" applyBorder="1" applyAlignment="1">
      <alignment horizontal="center" vertical="center"/>
    </xf>
    <xf numFmtId="167" fontId="0" fillId="8" borderId="1" xfId="0" applyNumberFormat="1" applyFill="1" applyBorder="1" applyAlignment="1">
      <alignment horizontal="center" vertical="center"/>
    </xf>
    <xf numFmtId="167" fontId="13" fillId="8" borderId="1" xfId="0" applyNumberFormat="1" applyFont="1" applyFill="1" applyBorder="1" applyAlignment="1">
      <alignment horizontal="center" vertical="center"/>
    </xf>
    <xf numFmtId="0" fontId="25" fillId="9" borderId="1" xfId="6" applyFill="1">
      <alignment horizontal="left" vertical="center" indent="2"/>
    </xf>
    <xf numFmtId="0" fontId="25" fillId="9" borderId="1" xfId="5" applyFill="1">
      <alignment horizontal="center" vertical="center"/>
    </xf>
    <xf numFmtId="9" fontId="13" fillId="9" borderId="1" xfId="1" applyFont="1" applyFill="1" applyBorder="1" applyAlignment="1">
      <alignment horizontal="center" vertical="center"/>
    </xf>
    <xf numFmtId="167" fontId="25" fillId="9" borderId="1" xfId="3" applyFill="1">
      <alignment horizontal="center" vertical="center"/>
    </xf>
    <xf numFmtId="0" fontId="25" fillId="0" borderId="1" xfId="6">
      <alignment horizontal="left" vertical="center" indent="2"/>
    </xf>
    <xf numFmtId="0" fontId="25" fillId="0" borderId="1" xfId="5">
      <alignment horizontal="center" vertical="center"/>
    </xf>
    <xf numFmtId="9" fontId="13" fillId="0" borderId="1" xfId="1" applyFont="1" applyBorder="1" applyAlignment="1">
      <alignment horizontal="center" vertical="center"/>
    </xf>
    <xf numFmtId="167" fontId="25" fillId="0" borderId="1" xfId="3">
      <alignment horizontal="center" vertical="center"/>
    </xf>
    <xf numFmtId="0" fontId="14" fillId="10" borderId="1" xfId="0" applyFont="1" applyFill="1" applyBorder="1" applyAlignment="1">
      <alignment horizontal="left" vertical="center" indent="1"/>
    </xf>
    <xf numFmtId="0" fontId="14" fillId="10" borderId="1" xfId="0" applyFont="1" applyFill="1" applyBorder="1" applyAlignment="1">
      <alignment horizontal="center" vertical="center"/>
    </xf>
    <xf numFmtId="9" fontId="13" fillId="10" borderId="1" xfId="1" applyFont="1" applyFill="1" applyBorder="1" applyAlignment="1">
      <alignment horizontal="center" vertical="center"/>
    </xf>
    <xf numFmtId="167" fontId="15" fillId="10" borderId="1" xfId="0" applyNumberFormat="1" applyFont="1" applyFill="1" applyBorder="1" applyAlignment="1">
      <alignment horizontal="left" vertical="center"/>
    </xf>
    <xf numFmtId="167"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0" fontId="0" fillId="10" borderId="9" xfId="0" applyFill="1" applyBorder="1" applyAlignment="1">
      <alignment vertical="center"/>
    </xf>
    <xf numFmtId="0" fontId="0" fillId="0" borderId="0" xfId="0" applyAlignment="1">
      <alignment horizontal="right" vertical="center"/>
    </xf>
    <xf numFmtId="0" fontId="16" fillId="0" borderId="0" xfId="0" applyFont="1"/>
    <xf numFmtId="0" fontId="1" fillId="0" borderId="0" xfId="0" applyFont="1" applyAlignment="1">
      <alignment horizontal="center"/>
    </xf>
    <xf numFmtId="0" fontId="17" fillId="0" borderId="0" xfId="2" applyFont="1" applyAlignment="1" applyProtection="1"/>
    <xf numFmtId="0" fontId="4"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top"/>
    </xf>
    <xf numFmtId="0" fontId="21" fillId="0" borderId="0" xfId="0" applyFont="1" applyAlignment="1">
      <alignment vertical="top"/>
    </xf>
    <xf numFmtId="0" fontId="4" fillId="0" borderId="0" xfId="0" applyFont="1" applyAlignment="1">
      <alignment horizontal="left" vertical="top"/>
    </xf>
    <xf numFmtId="0" fontId="22" fillId="0" borderId="0" xfId="0" applyFont="1" applyAlignment="1">
      <alignment vertical="center"/>
    </xf>
    <xf numFmtId="0" fontId="23" fillId="0" borderId="0" xfId="0" applyFont="1"/>
    <xf numFmtId="0" fontId="24" fillId="0" borderId="0" xfId="0" applyFont="1" applyAlignment="1">
      <alignment horizontal="left" vertical="top" wrapText="1" indent="1"/>
    </xf>
    <xf numFmtId="0" fontId="0" fillId="0" borderId="0" xfId="0" applyAlignment="1">
      <alignment vertical="top" wrapText="1"/>
    </xf>
    <xf numFmtId="0" fontId="8" fillId="0" borderId="0" xfId="2" applyAlignment="1" applyProtection="1">
      <alignment horizontal="left" vertical="top"/>
    </xf>
    <xf numFmtId="0" fontId="25" fillId="11" borderId="1" xfId="5" applyFill="1">
      <alignment horizontal="center" vertical="center"/>
    </xf>
    <xf numFmtId="9" fontId="13" fillId="11" borderId="1" xfId="1" applyFont="1" applyFill="1" applyBorder="1" applyAlignment="1">
      <alignment horizontal="center" vertical="center"/>
    </xf>
    <xf numFmtId="167" fontId="25" fillId="11" borderId="1" xfId="3" applyFill="1">
      <alignment horizontal="center" vertical="center"/>
    </xf>
    <xf numFmtId="0" fontId="25" fillId="12" borderId="1" xfId="5" applyFill="1">
      <alignment horizontal="center" vertical="center"/>
    </xf>
    <xf numFmtId="9" fontId="13" fillId="12" borderId="1" xfId="1" applyFont="1" applyFill="1" applyBorder="1" applyAlignment="1">
      <alignment horizontal="center" vertical="center"/>
    </xf>
    <xf numFmtId="167" fontId="0" fillId="12" borderId="1" xfId="0" applyNumberFormat="1" applyFill="1" applyBorder="1" applyAlignment="1">
      <alignment horizontal="center" vertical="center"/>
    </xf>
    <xf numFmtId="167" fontId="13" fillId="12" borderId="1" xfId="0" applyNumberFormat="1" applyFont="1" applyFill="1" applyBorder="1" applyAlignment="1">
      <alignment horizontal="center" vertical="center"/>
    </xf>
    <xf numFmtId="0" fontId="26" fillId="12" borderId="1" xfId="0" applyFont="1" applyFill="1" applyBorder="1" applyAlignment="1">
      <alignment horizontal="left" vertical="center" indent="1"/>
    </xf>
    <xf numFmtId="0" fontId="27" fillId="11" borderId="1" xfId="6" applyFont="1" applyFill="1">
      <alignment horizontal="left" vertical="center" indent="2"/>
    </xf>
    <xf numFmtId="0" fontId="27" fillId="13" borderId="1" xfId="6" applyFont="1" applyFill="1">
      <alignment horizontal="left" vertical="center" indent="2"/>
    </xf>
    <xf numFmtId="0" fontId="25" fillId="13" borderId="1" xfId="5" applyFill="1">
      <alignment horizontal="center" vertical="center"/>
    </xf>
    <xf numFmtId="9" fontId="13" fillId="13" borderId="1" xfId="1" applyFont="1" applyFill="1" applyBorder="1" applyAlignment="1">
      <alignment horizontal="center" vertical="center"/>
    </xf>
    <xf numFmtId="167" fontId="25" fillId="13" borderId="1" xfId="3" applyFill="1">
      <alignment horizontal="center" vertical="center"/>
    </xf>
    <xf numFmtId="0" fontId="25" fillId="14" borderId="1" xfId="6" applyFill="1">
      <alignment horizontal="left" vertical="center" indent="2"/>
    </xf>
    <xf numFmtId="0" fontId="25" fillId="14" borderId="1" xfId="5" applyFill="1">
      <alignment horizontal="center" vertical="center"/>
    </xf>
    <xf numFmtId="9" fontId="13" fillId="14" borderId="1" xfId="1" applyFont="1" applyFill="1" applyBorder="1" applyAlignment="1">
      <alignment horizontal="center" vertical="center"/>
    </xf>
    <xf numFmtId="167" fontId="25" fillId="14" borderId="1" xfId="3" applyFill="1">
      <alignment horizontal="center" vertical="center"/>
    </xf>
    <xf numFmtId="0" fontId="26" fillId="15" borderId="1" xfId="0" applyFont="1" applyFill="1" applyBorder="1" applyAlignment="1">
      <alignment horizontal="left" vertical="center" indent="1"/>
    </xf>
    <xf numFmtId="0" fontId="25" fillId="15" borderId="1" xfId="5" applyFill="1">
      <alignment horizontal="center" vertical="center"/>
    </xf>
    <xf numFmtId="9" fontId="13" fillId="15" borderId="1" xfId="1" applyFont="1" applyFill="1" applyBorder="1" applyAlignment="1">
      <alignment horizontal="center" vertical="center"/>
    </xf>
    <xf numFmtId="167" fontId="0" fillId="15" borderId="1" xfId="0" applyNumberFormat="1" applyFill="1" applyBorder="1" applyAlignment="1">
      <alignment horizontal="center" vertical="center"/>
    </xf>
    <xf numFmtId="167" fontId="13" fillId="15" borderId="1" xfId="0" applyNumberFormat="1" applyFont="1" applyFill="1" applyBorder="1" applyAlignment="1">
      <alignment horizontal="center" vertical="center"/>
    </xf>
    <xf numFmtId="0" fontId="25" fillId="16" borderId="1" xfId="6" applyFill="1">
      <alignment horizontal="left" vertical="center" indent="2"/>
    </xf>
    <xf numFmtId="0" fontId="25" fillId="16" borderId="1" xfId="5" applyFill="1">
      <alignment horizontal="center" vertical="center"/>
    </xf>
    <xf numFmtId="9" fontId="13" fillId="16" borderId="1" xfId="1" applyFont="1" applyFill="1" applyBorder="1" applyAlignment="1">
      <alignment horizontal="center" vertical="center"/>
    </xf>
    <xf numFmtId="167" fontId="25" fillId="16" borderId="1" xfId="3" applyFill="1">
      <alignment horizontal="center" vertical="center"/>
    </xf>
    <xf numFmtId="164" fontId="0" fillId="2" borderId="4" xfId="0" applyNumberFormat="1" applyFill="1" applyBorder="1" applyAlignment="1">
      <alignment horizontal="left" vertical="center" wrapText="1" indent="1"/>
    </xf>
    <xf numFmtId="0" fontId="0" fillId="0" borderId="7" xfId="0" applyBorder="1"/>
    <xf numFmtId="0" fontId="0" fillId="0" borderId="10" xfId="0" applyBorder="1"/>
    <xf numFmtId="0" fontId="25" fillId="0" borderId="3" xfId="11" applyBorder="1">
      <alignment horizontal="right" indent="1"/>
    </xf>
    <xf numFmtId="0" fontId="0" fillId="0" borderId="3" xfId="0" applyBorder="1"/>
    <xf numFmtId="165" fontId="25" fillId="0" borderId="2" xfId="4">
      <alignment horizontal="center" vertical="center"/>
    </xf>
    <xf numFmtId="0" fontId="0" fillId="0" borderId="11" xfId="0" applyBorder="1"/>
    <xf numFmtId="167" fontId="25" fillId="17" borderId="1" xfId="3" applyFill="1">
      <alignment horizontal="center" vertical="center"/>
    </xf>
  </cellXfs>
  <cellStyles count="12">
    <cellStyle name="Excel Built-in Heading 1" xfId="9" xr:uid="{00000000-0005-0000-0000-000009000000}"/>
    <cellStyle name="Excel Built-in Heading 2" xfId="10" xr:uid="{00000000-0005-0000-0000-00000A000000}"/>
    <cellStyle name="Excel Built-in Heading 3" xfId="11" xr:uid="{00000000-0005-0000-0000-00000B000000}"/>
    <cellStyle name="Excel Built-in Title" xfId="8" xr:uid="{00000000-0005-0000-0000-000008000000}"/>
    <cellStyle name="Fecha" xfId="3" xr:uid="{00000000-0005-0000-0000-000003000000}"/>
    <cellStyle name="Hipervínculo" xfId="2" builtinId="8"/>
    <cellStyle name="Inicio del proyecto" xfId="4" xr:uid="{00000000-0005-0000-0000-000004000000}"/>
    <cellStyle name="Nombre" xfId="5" xr:uid="{00000000-0005-0000-0000-000005000000}"/>
    <cellStyle name="Normal" xfId="0" builtinId="0"/>
    <cellStyle name="Porcentaje" xfId="1" builtinId="5"/>
    <cellStyle name="Tarea" xfId="6" xr:uid="{00000000-0005-0000-0000-000006000000}"/>
    <cellStyle name="zTextoOculto" xfId="7" xr:uid="{00000000-0005-0000-0000-000007000000}"/>
  </cellStyles>
  <dxfs count="3">
    <dxf>
      <fill>
        <patternFill>
          <bgColor theme="7"/>
        </patternFill>
      </fill>
      <border>
        <left/>
        <right/>
        <top/>
        <bottom/>
      </border>
    </dxf>
    <dxf>
      <fill>
        <patternFill>
          <bgColor theme="0" tint="-0.34998626667073579"/>
        </patternFill>
      </fill>
    </dxf>
    <dxf>
      <border>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7F7F7F"/>
      <rgbColor rgb="FF9999FF"/>
      <rgbColor rgb="FF595959"/>
      <rgbColor rgb="FFEBF1DE"/>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F2F2F2"/>
      <rgbColor rgb="FFD7E4BD"/>
      <rgbColor rgb="FFF2DCDB"/>
      <rgbColor rgb="FFD9D9D9"/>
      <rgbColor rgb="FFFF99CC"/>
      <rgbColor rgb="FFE6E0EC"/>
      <rgbColor rgb="FFE6B9B8"/>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rgbColor rgb="00003366"/>
      <rgbColor rgb="00339966"/>
      <rgbColor rgb="00003300"/>
      <rgbColor rgb="00333300"/>
      <rgbColor rgb="00993300"/>
      <rgbColor rgb="00993366"/>
      <rgbColor rgb="00333399"/>
      <rgbColor rgb="00333333"/>
    </indexedColors>
    <mruColors>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95400</xdr:rowOff>
    </xdr:from>
    <xdr:to>
      <xdr:col>0</xdr:col>
      <xdr:colOff>1904760</xdr:colOff>
      <xdr:row>0</xdr:row>
      <xdr:rowOff>523800</xdr:rowOff>
    </xdr:to>
    <xdr:pic>
      <xdr:nvPicPr>
        <xdr:cNvPr id="2" name="Imagen 1" descr="Logotipo de Vertex42">
          <a:hlinkClick xmlns:r="http://schemas.openxmlformats.org/officeDocument/2006/relationships" r:id=""/>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95400"/>
          <a:ext cx="1904760" cy="4284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help" TargetMode="External"/><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36"/>
  <sheetViews>
    <sheetView showGridLines="0" tabSelected="1" zoomScale="115" zoomScaleNormal="115" workbookViewId="0">
      <pane ySplit="6" topLeftCell="A14" activePane="bottomLeft" state="frozen"/>
      <selection pane="bottomLeft" activeCell="P21" sqref="P21"/>
    </sheetView>
  </sheetViews>
  <sheetFormatPr baseColWidth="10" defaultColWidth="9.140625" defaultRowHeight="15" x14ac:dyDescent="0.25"/>
  <cols>
    <col min="1" max="1" width="2.7109375" style="1" customWidth="1"/>
    <col min="2" max="2" width="29.42578125" customWidth="1"/>
    <col min="3" max="3" width="30.7109375" customWidth="1"/>
    <col min="4" max="4" width="10.7109375" customWidth="1"/>
    <col min="5" max="5" width="10.42578125" style="2" customWidth="1"/>
    <col min="6" max="6" width="10.42578125" customWidth="1"/>
    <col min="7" max="7" width="2.7109375" customWidth="1"/>
    <col min="8" max="8" width="9.42578125" hidden="1" customWidth="1"/>
    <col min="9" max="64" width="3.28515625" customWidth="1"/>
    <col min="69" max="70" width="10.28515625" customWidth="1"/>
  </cols>
  <sheetData>
    <row r="1" spans="1:64" ht="30" customHeight="1" x14ac:dyDescent="0.45">
      <c r="A1" s="3" t="s">
        <v>0</v>
      </c>
      <c r="B1" s="4" t="s">
        <v>1</v>
      </c>
      <c r="C1" s="5"/>
      <c r="D1" s="6"/>
      <c r="E1" s="7"/>
      <c r="F1" s="8"/>
      <c r="H1" s="6"/>
      <c r="I1" s="9" t="s">
        <v>2</v>
      </c>
    </row>
    <row r="2" spans="1:64" ht="30" customHeight="1" x14ac:dyDescent="0.3">
      <c r="A2" s="1" t="s">
        <v>3</v>
      </c>
      <c r="B2" s="10" t="s">
        <v>4</v>
      </c>
      <c r="I2" s="11" t="s">
        <v>5</v>
      </c>
    </row>
    <row r="3" spans="1:64" ht="30" customHeight="1" x14ac:dyDescent="0.25">
      <c r="A3" s="1" t="s">
        <v>6</v>
      </c>
      <c r="B3" s="12" t="s">
        <v>7</v>
      </c>
      <c r="C3" s="107" t="s">
        <v>8</v>
      </c>
      <c r="D3" s="108"/>
      <c r="E3" s="109">
        <v>46097</v>
      </c>
      <c r="F3" s="110"/>
    </row>
    <row r="4" spans="1:64" ht="30" customHeight="1" x14ac:dyDescent="0.25">
      <c r="A4" s="3" t="s">
        <v>9</v>
      </c>
      <c r="C4" s="107" t="s">
        <v>10</v>
      </c>
      <c r="D4" s="108"/>
      <c r="E4" s="13">
        <v>10</v>
      </c>
      <c r="I4" s="104">
        <f>I5</f>
        <v>46160</v>
      </c>
      <c r="J4" s="105"/>
      <c r="K4" s="105"/>
      <c r="L4" s="105"/>
      <c r="M4" s="105"/>
      <c r="N4" s="105"/>
      <c r="O4" s="106"/>
      <c r="P4" s="104">
        <f>P5</f>
        <v>46167</v>
      </c>
      <c r="Q4" s="105"/>
      <c r="R4" s="105"/>
      <c r="S4" s="105"/>
      <c r="T4" s="105"/>
      <c r="U4" s="105"/>
      <c r="V4" s="106"/>
      <c r="W4" s="104">
        <f>W5</f>
        <v>46174</v>
      </c>
      <c r="X4" s="105"/>
      <c r="Y4" s="105"/>
      <c r="Z4" s="105"/>
      <c r="AA4" s="105"/>
      <c r="AB4" s="105"/>
      <c r="AC4" s="106"/>
      <c r="AD4" s="104">
        <f>AD5</f>
        <v>46181</v>
      </c>
      <c r="AE4" s="105"/>
      <c r="AF4" s="105"/>
      <c r="AG4" s="105"/>
      <c r="AH4" s="105"/>
      <c r="AI4" s="105"/>
      <c r="AJ4" s="106"/>
      <c r="AK4" s="104">
        <f>AK5</f>
        <v>46188</v>
      </c>
      <c r="AL4" s="105"/>
      <c r="AM4" s="105"/>
      <c r="AN4" s="105"/>
      <c r="AO4" s="105"/>
      <c r="AP4" s="105"/>
      <c r="AQ4" s="106"/>
      <c r="AR4" s="104">
        <f>AR5</f>
        <v>46195</v>
      </c>
      <c r="AS4" s="105"/>
      <c r="AT4" s="105"/>
      <c r="AU4" s="105"/>
      <c r="AV4" s="105"/>
      <c r="AW4" s="105"/>
      <c r="AX4" s="106"/>
      <c r="AY4" s="104">
        <f>AY5</f>
        <v>46202</v>
      </c>
      <c r="AZ4" s="105"/>
      <c r="BA4" s="105"/>
      <c r="BB4" s="105"/>
      <c r="BC4" s="105"/>
      <c r="BD4" s="105"/>
      <c r="BE4" s="106"/>
      <c r="BF4" s="104">
        <f>BF5</f>
        <v>46209</v>
      </c>
      <c r="BG4" s="105"/>
      <c r="BH4" s="105"/>
      <c r="BI4" s="105"/>
      <c r="BJ4" s="105"/>
      <c r="BK4" s="105"/>
      <c r="BL4" s="106"/>
    </row>
    <row r="5" spans="1:64" ht="15" customHeight="1" x14ac:dyDescent="0.25">
      <c r="A5" s="3" t="s">
        <v>11</v>
      </c>
      <c r="B5" s="14"/>
      <c r="C5" s="14"/>
      <c r="D5" s="14"/>
      <c r="E5" s="14"/>
      <c r="F5" s="14"/>
      <c r="G5" s="14"/>
      <c r="I5" s="15">
        <f>Inicio_del_proyecto-WEEKDAY(Inicio_del_proyecto,1)+2+7*(Semana_para_mostrar-1)</f>
        <v>46160</v>
      </c>
      <c r="J5" s="16">
        <f t="shared" ref="J5:AO5" si="0">I5+1</f>
        <v>46161</v>
      </c>
      <c r="K5" s="16">
        <f t="shared" si="0"/>
        <v>46162</v>
      </c>
      <c r="L5" s="16">
        <f t="shared" si="0"/>
        <v>46163</v>
      </c>
      <c r="M5" s="16">
        <f t="shared" si="0"/>
        <v>46164</v>
      </c>
      <c r="N5" s="16">
        <f t="shared" si="0"/>
        <v>46165</v>
      </c>
      <c r="O5" s="17">
        <f t="shared" si="0"/>
        <v>46166</v>
      </c>
      <c r="P5" s="15">
        <f t="shared" si="0"/>
        <v>46167</v>
      </c>
      <c r="Q5" s="16">
        <f t="shared" si="0"/>
        <v>46168</v>
      </c>
      <c r="R5" s="16">
        <f t="shared" si="0"/>
        <v>46169</v>
      </c>
      <c r="S5" s="16">
        <f t="shared" si="0"/>
        <v>46170</v>
      </c>
      <c r="T5" s="16">
        <f t="shared" si="0"/>
        <v>46171</v>
      </c>
      <c r="U5" s="16">
        <f t="shared" si="0"/>
        <v>46172</v>
      </c>
      <c r="V5" s="17">
        <f t="shared" si="0"/>
        <v>46173</v>
      </c>
      <c r="W5" s="15">
        <f t="shared" si="0"/>
        <v>46174</v>
      </c>
      <c r="X5" s="16">
        <f t="shared" si="0"/>
        <v>46175</v>
      </c>
      <c r="Y5" s="16">
        <f t="shared" si="0"/>
        <v>46176</v>
      </c>
      <c r="Z5" s="16">
        <f t="shared" si="0"/>
        <v>46177</v>
      </c>
      <c r="AA5" s="16">
        <f t="shared" si="0"/>
        <v>46178</v>
      </c>
      <c r="AB5" s="16">
        <f t="shared" si="0"/>
        <v>46179</v>
      </c>
      <c r="AC5" s="17">
        <f t="shared" si="0"/>
        <v>46180</v>
      </c>
      <c r="AD5" s="15">
        <f t="shared" si="0"/>
        <v>46181</v>
      </c>
      <c r="AE5" s="16">
        <f t="shared" si="0"/>
        <v>46182</v>
      </c>
      <c r="AF5" s="16">
        <f t="shared" si="0"/>
        <v>46183</v>
      </c>
      <c r="AG5" s="16">
        <f t="shared" si="0"/>
        <v>46184</v>
      </c>
      <c r="AH5" s="16">
        <f t="shared" si="0"/>
        <v>46185</v>
      </c>
      <c r="AI5" s="16">
        <f t="shared" si="0"/>
        <v>46186</v>
      </c>
      <c r="AJ5" s="17">
        <f t="shared" si="0"/>
        <v>46187</v>
      </c>
      <c r="AK5" s="15">
        <f t="shared" si="0"/>
        <v>46188</v>
      </c>
      <c r="AL5" s="16">
        <f t="shared" si="0"/>
        <v>46189</v>
      </c>
      <c r="AM5" s="16">
        <f t="shared" si="0"/>
        <v>46190</v>
      </c>
      <c r="AN5" s="16">
        <f t="shared" si="0"/>
        <v>46191</v>
      </c>
      <c r="AO5" s="16">
        <f t="shared" si="0"/>
        <v>46192</v>
      </c>
      <c r="AP5" s="16">
        <f t="shared" ref="AP5:BL5" si="1">AO5+1</f>
        <v>46193</v>
      </c>
      <c r="AQ5" s="17">
        <f t="shared" si="1"/>
        <v>46194</v>
      </c>
      <c r="AR5" s="15">
        <f t="shared" si="1"/>
        <v>46195</v>
      </c>
      <c r="AS5" s="16">
        <f t="shared" si="1"/>
        <v>46196</v>
      </c>
      <c r="AT5" s="16">
        <f t="shared" si="1"/>
        <v>46197</v>
      </c>
      <c r="AU5" s="16">
        <f t="shared" si="1"/>
        <v>46198</v>
      </c>
      <c r="AV5" s="16">
        <f t="shared" si="1"/>
        <v>46199</v>
      </c>
      <c r="AW5" s="16">
        <f t="shared" si="1"/>
        <v>46200</v>
      </c>
      <c r="AX5" s="17">
        <f t="shared" si="1"/>
        <v>46201</v>
      </c>
      <c r="AY5" s="15">
        <f t="shared" si="1"/>
        <v>46202</v>
      </c>
      <c r="AZ5" s="16">
        <f t="shared" si="1"/>
        <v>46203</v>
      </c>
      <c r="BA5" s="16">
        <f t="shared" si="1"/>
        <v>46204</v>
      </c>
      <c r="BB5" s="16">
        <f t="shared" si="1"/>
        <v>46205</v>
      </c>
      <c r="BC5" s="16">
        <f t="shared" si="1"/>
        <v>46206</v>
      </c>
      <c r="BD5" s="16">
        <f t="shared" si="1"/>
        <v>46207</v>
      </c>
      <c r="BE5" s="17">
        <f t="shared" si="1"/>
        <v>46208</v>
      </c>
      <c r="BF5" s="15">
        <f t="shared" si="1"/>
        <v>46209</v>
      </c>
      <c r="BG5" s="16">
        <f t="shared" si="1"/>
        <v>46210</v>
      </c>
      <c r="BH5" s="16">
        <f t="shared" si="1"/>
        <v>46211</v>
      </c>
      <c r="BI5" s="16">
        <f t="shared" si="1"/>
        <v>46212</v>
      </c>
      <c r="BJ5" s="16">
        <f t="shared" si="1"/>
        <v>46213</v>
      </c>
      <c r="BK5" s="16">
        <f t="shared" si="1"/>
        <v>46214</v>
      </c>
      <c r="BL5" s="17">
        <f t="shared" si="1"/>
        <v>46215</v>
      </c>
    </row>
    <row r="6" spans="1:64" ht="30" customHeight="1" x14ac:dyDescent="0.25">
      <c r="A6" s="3" t="s">
        <v>12</v>
      </c>
      <c r="B6" s="18" t="s">
        <v>13</v>
      </c>
      <c r="C6" s="19" t="s">
        <v>14</v>
      </c>
      <c r="D6" s="19" t="s">
        <v>15</v>
      </c>
      <c r="E6" s="19" t="s">
        <v>16</v>
      </c>
      <c r="F6" s="19" t="s">
        <v>17</v>
      </c>
      <c r="G6" s="19"/>
      <c r="H6" s="19" t="s">
        <v>18</v>
      </c>
      <c r="I6" s="20" t="str">
        <f t="shared" ref="I6:AN6" si="2">LEFT(TEXT(I5,"ddd"),1)</f>
        <v>M</v>
      </c>
      <c r="J6" s="20" t="str">
        <f t="shared" si="2"/>
        <v>T</v>
      </c>
      <c r="K6" s="20" t="str">
        <f t="shared" si="2"/>
        <v>W</v>
      </c>
      <c r="L6" s="20" t="str">
        <f t="shared" si="2"/>
        <v>T</v>
      </c>
      <c r="M6" s="20" t="str">
        <f t="shared" si="2"/>
        <v>F</v>
      </c>
      <c r="N6" s="20" t="str">
        <f t="shared" si="2"/>
        <v>S</v>
      </c>
      <c r="O6" s="20" t="str">
        <f t="shared" si="2"/>
        <v>S</v>
      </c>
      <c r="P6" s="20" t="str">
        <f t="shared" si="2"/>
        <v>M</v>
      </c>
      <c r="Q6" s="20" t="str">
        <f t="shared" si="2"/>
        <v>T</v>
      </c>
      <c r="R6" s="20" t="str">
        <f t="shared" si="2"/>
        <v>W</v>
      </c>
      <c r="S6" s="20" t="str">
        <f t="shared" si="2"/>
        <v>T</v>
      </c>
      <c r="T6" s="20" t="str">
        <f t="shared" si="2"/>
        <v>F</v>
      </c>
      <c r="U6" s="20" t="str">
        <f t="shared" si="2"/>
        <v>S</v>
      </c>
      <c r="V6" s="20" t="str">
        <f t="shared" si="2"/>
        <v>S</v>
      </c>
      <c r="W6" s="20" t="str">
        <f t="shared" si="2"/>
        <v>M</v>
      </c>
      <c r="X6" s="20" t="str">
        <f t="shared" si="2"/>
        <v>T</v>
      </c>
      <c r="Y6" s="20" t="str">
        <f t="shared" si="2"/>
        <v>W</v>
      </c>
      <c r="Z6" s="20" t="str">
        <f t="shared" si="2"/>
        <v>T</v>
      </c>
      <c r="AA6" s="20" t="str">
        <f t="shared" si="2"/>
        <v>F</v>
      </c>
      <c r="AB6" s="20" t="str">
        <f t="shared" si="2"/>
        <v>S</v>
      </c>
      <c r="AC6" s="20" t="str">
        <f t="shared" si="2"/>
        <v>S</v>
      </c>
      <c r="AD6" s="20" t="str">
        <f t="shared" si="2"/>
        <v>M</v>
      </c>
      <c r="AE6" s="20" t="str">
        <f t="shared" si="2"/>
        <v>T</v>
      </c>
      <c r="AF6" s="20" t="str">
        <f t="shared" si="2"/>
        <v>W</v>
      </c>
      <c r="AG6" s="20" t="str">
        <f t="shared" si="2"/>
        <v>T</v>
      </c>
      <c r="AH6" s="20" t="str">
        <f t="shared" si="2"/>
        <v>F</v>
      </c>
      <c r="AI6" s="20" t="str">
        <f t="shared" si="2"/>
        <v>S</v>
      </c>
      <c r="AJ6" s="20" t="str">
        <f t="shared" si="2"/>
        <v>S</v>
      </c>
      <c r="AK6" s="20" t="str">
        <f t="shared" si="2"/>
        <v>M</v>
      </c>
      <c r="AL6" s="20" t="str">
        <f t="shared" si="2"/>
        <v>T</v>
      </c>
      <c r="AM6" s="20" t="str">
        <f t="shared" si="2"/>
        <v>W</v>
      </c>
      <c r="AN6" s="20" t="str">
        <f t="shared" si="2"/>
        <v>T</v>
      </c>
      <c r="AO6" s="20" t="str">
        <f t="shared" ref="AO6:BT6" si="3">LEFT(TEXT(AO5,"ddd"),1)</f>
        <v>F</v>
      </c>
      <c r="AP6" s="20" t="str">
        <f t="shared" si="3"/>
        <v>S</v>
      </c>
      <c r="AQ6" s="20" t="str">
        <f t="shared" si="3"/>
        <v>S</v>
      </c>
      <c r="AR6" s="20" t="str">
        <f t="shared" si="3"/>
        <v>M</v>
      </c>
      <c r="AS6" s="20" t="str">
        <f t="shared" si="3"/>
        <v>T</v>
      </c>
      <c r="AT6" s="20" t="str">
        <f t="shared" si="3"/>
        <v>W</v>
      </c>
      <c r="AU6" s="20" t="str">
        <f t="shared" si="3"/>
        <v>T</v>
      </c>
      <c r="AV6" s="20" t="str">
        <f t="shared" si="3"/>
        <v>F</v>
      </c>
      <c r="AW6" s="20" t="str">
        <f t="shared" si="3"/>
        <v>S</v>
      </c>
      <c r="AX6" s="20" t="str">
        <f t="shared" si="3"/>
        <v>S</v>
      </c>
      <c r="AY6" s="20" t="str">
        <f t="shared" si="3"/>
        <v>M</v>
      </c>
      <c r="AZ6" s="20" t="str">
        <f t="shared" si="3"/>
        <v>T</v>
      </c>
      <c r="BA6" s="20" t="str">
        <f t="shared" si="3"/>
        <v>W</v>
      </c>
      <c r="BB6" s="20" t="str">
        <f t="shared" si="3"/>
        <v>T</v>
      </c>
      <c r="BC6" s="20" t="str">
        <f t="shared" si="3"/>
        <v>F</v>
      </c>
      <c r="BD6" s="20" t="str">
        <f t="shared" si="3"/>
        <v>S</v>
      </c>
      <c r="BE6" s="20" t="str">
        <f t="shared" si="3"/>
        <v>S</v>
      </c>
      <c r="BF6" s="20" t="str">
        <f t="shared" si="3"/>
        <v>M</v>
      </c>
      <c r="BG6" s="20" t="str">
        <f t="shared" si="3"/>
        <v>T</v>
      </c>
      <c r="BH6" s="20" t="str">
        <f t="shared" si="3"/>
        <v>W</v>
      </c>
      <c r="BI6" s="20" t="str">
        <f t="shared" si="3"/>
        <v>T</v>
      </c>
      <c r="BJ6" s="20" t="str">
        <f t="shared" si="3"/>
        <v>F</v>
      </c>
      <c r="BK6" s="20" t="str">
        <f t="shared" si="3"/>
        <v>S</v>
      </c>
      <c r="BL6" s="20" t="str">
        <f t="shared" si="3"/>
        <v>S</v>
      </c>
    </row>
    <row r="7" spans="1:64" ht="30" hidden="1" customHeight="1" x14ac:dyDescent="0.25">
      <c r="A7" s="1" t="s">
        <v>19</v>
      </c>
      <c r="C7" s="21"/>
      <c r="H7" t="str">
        <f t="shared" ref="H7:H33" si="4">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s="29" customFormat="1" ht="30" customHeight="1" x14ac:dyDescent="0.25">
      <c r="A8" s="3" t="s">
        <v>20</v>
      </c>
      <c r="B8" s="23" t="s">
        <v>21</v>
      </c>
      <c r="C8" s="24"/>
      <c r="D8" s="25"/>
      <c r="E8" s="26">
        <v>46097</v>
      </c>
      <c r="F8" s="27">
        <v>46131</v>
      </c>
      <c r="G8" s="28"/>
      <c r="H8" s="28">
        <f t="shared" si="4"/>
        <v>35</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s="29" customFormat="1" ht="30" customHeight="1" x14ac:dyDescent="0.25">
      <c r="A9" s="3" t="s">
        <v>22</v>
      </c>
      <c r="B9" s="30" t="s">
        <v>23</v>
      </c>
      <c r="C9" s="31" t="s">
        <v>24</v>
      </c>
      <c r="D9" s="32">
        <v>0</v>
      </c>
      <c r="E9" s="33">
        <v>46097</v>
      </c>
      <c r="F9" s="33">
        <v>46110</v>
      </c>
      <c r="G9" s="28"/>
      <c r="H9" s="28">
        <f t="shared" si="4"/>
        <v>14</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s="29" customFormat="1" ht="30" customHeight="1" x14ac:dyDescent="0.25">
      <c r="A10" s="3" t="s">
        <v>25</v>
      </c>
      <c r="B10" s="30" t="s">
        <v>26</v>
      </c>
      <c r="C10" s="31" t="s">
        <v>27</v>
      </c>
      <c r="D10" s="32">
        <v>0</v>
      </c>
      <c r="E10" s="33">
        <v>46111</v>
      </c>
      <c r="F10" s="33">
        <v>46117</v>
      </c>
      <c r="G10" s="28"/>
      <c r="H10" s="28">
        <f t="shared" si="4"/>
        <v>7</v>
      </c>
      <c r="I10" s="22"/>
      <c r="J10" s="22"/>
      <c r="K10" s="22"/>
      <c r="L10" s="22"/>
      <c r="M10" s="22"/>
      <c r="N10" s="22"/>
      <c r="O10" s="22"/>
      <c r="P10" s="22"/>
      <c r="Q10" s="22"/>
      <c r="R10" s="22"/>
      <c r="S10" s="22"/>
      <c r="T10" s="22"/>
      <c r="U10" s="34"/>
      <c r="V10" s="34"/>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s="29" customFormat="1" ht="30" customHeight="1" x14ac:dyDescent="0.25">
      <c r="A11" s="1"/>
      <c r="B11" s="30" t="s">
        <v>28</v>
      </c>
      <c r="C11" s="31" t="s">
        <v>29</v>
      </c>
      <c r="D11" s="32">
        <v>0</v>
      </c>
      <c r="E11" s="33">
        <v>46118</v>
      </c>
      <c r="F11" s="33">
        <v>46124</v>
      </c>
      <c r="G11" s="28"/>
      <c r="H11" s="28">
        <f t="shared" si="4"/>
        <v>7</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s="29" customFormat="1" ht="30" customHeight="1" x14ac:dyDescent="0.25">
      <c r="A12" s="1"/>
      <c r="B12" s="30" t="s">
        <v>30</v>
      </c>
      <c r="C12" s="31" t="s">
        <v>24</v>
      </c>
      <c r="D12" s="32">
        <v>0</v>
      </c>
      <c r="E12" s="33">
        <v>46125</v>
      </c>
      <c r="F12" s="33">
        <v>46131</v>
      </c>
      <c r="G12" s="28"/>
      <c r="H12" s="28">
        <f t="shared" si="4"/>
        <v>7</v>
      </c>
      <c r="I12" s="22"/>
      <c r="J12" s="22"/>
      <c r="K12" s="22"/>
      <c r="L12" s="22"/>
      <c r="M12" s="22"/>
      <c r="N12" s="22"/>
      <c r="O12" s="22"/>
      <c r="P12" s="22"/>
      <c r="Q12" s="22"/>
      <c r="R12" s="22"/>
      <c r="S12" s="22"/>
      <c r="T12" s="22"/>
      <c r="U12" s="22"/>
      <c r="V12" s="22"/>
      <c r="W12" s="22"/>
      <c r="X12" s="22"/>
      <c r="Y12" s="34"/>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s="29" customFormat="1" ht="30" customHeight="1" x14ac:dyDescent="0.25">
      <c r="A13" s="1"/>
      <c r="B13" s="86" t="s">
        <v>31</v>
      </c>
      <c r="C13" s="78"/>
      <c r="D13" s="79"/>
      <c r="E13" s="80">
        <v>46132</v>
      </c>
      <c r="F13" s="80">
        <v>46187</v>
      </c>
      <c r="G13" s="28"/>
      <c r="H13" s="28">
        <f t="shared" si="4"/>
        <v>56</v>
      </c>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s="29" customFormat="1" ht="30" customHeight="1" x14ac:dyDescent="0.25">
      <c r="A14" s="3" t="s">
        <v>32</v>
      </c>
      <c r="B14" s="85" t="s">
        <v>33</v>
      </c>
      <c r="C14" s="81" t="s">
        <v>34</v>
      </c>
      <c r="D14" s="82">
        <v>0</v>
      </c>
      <c r="E14" s="83">
        <v>46132</v>
      </c>
      <c r="F14" s="84">
        <v>46145</v>
      </c>
      <c r="G14" s="28"/>
      <c r="H14" s="28">
        <f t="shared" si="4"/>
        <v>14</v>
      </c>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s="29" customFormat="1" ht="30" customHeight="1" x14ac:dyDescent="0.25">
      <c r="A15" s="3"/>
      <c r="B15" s="35" t="s">
        <v>35</v>
      </c>
      <c r="C15" s="36" t="s">
        <v>34</v>
      </c>
      <c r="D15" s="37">
        <v>0</v>
      </c>
      <c r="E15" s="38">
        <v>46146</v>
      </c>
      <c r="F15" s="38">
        <v>46159</v>
      </c>
      <c r="G15" s="28"/>
      <c r="H15" s="28">
        <f t="shared" si="4"/>
        <v>14</v>
      </c>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s="29" customFormat="1" ht="30" customHeight="1" x14ac:dyDescent="0.25">
      <c r="A16" s="1"/>
      <c r="B16" s="35" t="s">
        <v>36</v>
      </c>
      <c r="C16" s="36" t="s">
        <v>34</v>
      </c>
      <c r="D16" s="37">
        <v>0</v>
      </c>
      <c r="E16" s="38">
        <v>46160</v>
      </c>
      <c r="F16" s="38">
        <v>46173</v>
      </c>
      <c r="G16" s="28"/>
      <c r="H16" s="28">
        <f t="shared" si="4"/>
        <v>14</v>
      </c>
      <c r="I16" s="22"/>
      <c r="J16" s="22"/>
      <c r="K16" s="22"/>
      <c r="L16" s="22"/>
      <c r="M16" s="22"/>
      <c r="N16" s="22"/>
      <c r="O16" s="22"/>
      <c r="P16" s="22"/>
      <c r="Q16" s="22"/>
      <c r="R16" s="22"/>
      <c r="S16" s="22"/>
      <c r="T16" s="22"/>
      <c r="U16" s="34"/>
      <c r="V16" s="34"/>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s="29" customFormat="1" ht="30" customHeight="1" x14ac:dyDescent="0.25">
      <c r="A17" s="1"/>
      <c r="B17" s="35" t="s">
        <v>37</v>
      </c>
      <c r="C17" s="36" t="s">
        <v>34</v>
      </c>
      <c r="D17" s="37">
        <v>0</v>
      </c>
      <c r="E17" s="38">
        <v>46174</v>
      </c>
      <c r="F17" s="38">
        <v>46187</v>
      </c>
      <c r="G17" s="28"/>
      <c r="H17" s="28">
        <f t="shared" si="4"/>
        <v>14</v>
      </c>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s="29" customFormat="1" ht="30" customHeight="1" x14ac:dyDescent="0.25">
      <c r="A18" s="1"/>
      <c r="B18" s="87" t="s">
        <v>38</v>
      </c>
      <c r="C18" s="88"/>
      <c r="D18" s="89"/>
      <c r="E18" s="90">
        <v>46188</v>
      </c>
      <c r="F18" s="111">
        <v>46215</v>
      </c>
      <c r="G18" s="28"/>
      <c r="H18" s="28">
        <f t="shared" si="4"/>
        <v>28</v>
      </c>
      <c r="I18" s="22"/>
      <c r="J18" s="22"/>
      <c r="K18" s="22"/>
      <c r="L18" s="22"/>
      <c r="M18" s="22"/>
      <c r="N18" s="22"/>
      <c r="O18" s="22"/>
      <c r="P18" s="22"/>
      <c r="Q18" s="22"/>
      <c r="R18" s="22"/>
      <c r="S18" s="22"/>
      <c r="T18" s="22"/>
      <c r="U18" s="22"/>
      <c r="V18" s="22"/>
      <c r="W18" s="22"/>
      <c r="X18" s="22"/>
      <c r="Y18" s="34"/>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s="29" customFormat="1" ht="30" customHeight="1" x14ac:dyDescent="0.25">
      <c r="A19" s="1"/>
      <c r="B19" s="91" t="s">
        <v>39</v>
      </c>
      <c r="C19" s="92" t="s">
        <v>24</v>
      </c>
      <c r="D19" s="93">
        <v>0</v>
      </c>
      <c r="E19" s="94">
        <v>46188</v>
      </c>
      <c r="F19" s="94">
        <v>46201</v>
      </c>
      <c r="G19" s="28"/>
      <c r="H19" s="28">
        <f t="shared" si="4"/>
        <v>14</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s="29" customFormat="1" ht="30" customHeight="1" x14ac:dyDescent="0.25">
      <c r="A20" s="1" t="s">
        <v>40</v>
      </c>
      <c r="B20" s="95" t="s">
        <v>41</v>
      </c>
      <c r="C20" s="96" t="s">
        <v>27</v>
      </c>
      <c r="D20" s="97">
        <v>0</v>
      </c>
      <c r="E20" s="98">
        <v>46195</v>
      </c>
      <c r="F20" s="99">
        <v>46208</v>
      </c>
      <c r="G20" s="28"/>
      <c r="H20" s="28">
        <f t="shared" si="4"/>
        <v>14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s="29" customFormat="1" ht="30" customHeight="1" x14ac:dyDescent="0.25">
      <c r="A21" s="1"/>
      <c r="B21" s="100" t="s">
        <v>42</v>
      </c>
      <c r="C21" s="101" t="s">
        <v>24</v>
      </c>
      <c r="D21" s="102">
        <v>0</v>
      </c>
      <c r="E21" s="103">
        <v>46209</v>
      </c>
      <c r="F21" s="103">
        <v>46210</v>
      </c>
      <c r="G21" s="28"/>
      <c r="H21" s="28">
        <f t="shared" si="4"/>
        <v>2</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s="29" customFormat="1" ht="30" customHeight="1" x14ac:dyDescent="0.25">
      <c r="A22" s="1"/>
      <c r="B22" s="100" t="s">
        <v>43</v>
      </c>
      <c r="C22" s="101" t="s">
        <v>24</v>
      </c>
      <c r="D22" s="102">
        <v>0</v>
      </c>
      <c r="E22" s="103">
        <v>46211</v>
      </c>
      <c r="F22" s="103">
        <v>46215</v>
      </c>
      <c r="G22" s="28"/>
      <c r="H22" s="28">
        <f t="shared" si="4"/>
        <v>5</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s="29" customFormat="1" ht="30" customHeight="1" x14ac:dyDescent="0.25">
      <c r="A23" s="1"/>
      <c r="B23" s="39"/>
      <c r="C23" s="40"/>
      <c r="D23" s="41"/>
      <c r="E23" s="42"/>
      <c r="F23" s="42"/>
      <c r="G23" s="28"/>
      <c r="H23" s="28" t="str">
        <f t="shared" si="4"/>
        <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s="29" customFormat="1" ht="30" customHeight="1" x14ac:dyDescent="0.25">
      <c r="A24" s="1"/>
      <c r="B24" s="39"/>
      <c r="C24" s="40"/>
      <c r="D24" s="41"/>
      <c r="E24" s="42"/>
      <c r="F24" s="42"/>
      <c r="G24" s="28"/>
      <c r="H24" s="28" t="str">
        <f t="shared" si="4"/>
        <v/>
      </c>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s="29" customFormat="1" ht="30" customHeight="1" x14ac:dyDescent="0.25">
      <c r="A25" s="1"/>
      <c r="B25" s="39"/>
      <c r="C25" s="40"/>
      <c r="D25" s="41"/>
      <c r="E25" s="42"/>
      <c r="F25" s="42"/>
      <c r="G25" s="28"/>
      <c r="H25" s="28" t="str">
        <f t="shared" si="4"/>
        <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s="29" customFormat="1" ht="30" customHeight="1" x14ac:dyDescent="0.25">
      <c r="A26" s="1" t="s">
        <v>40</v>
      </c>
      <c r="B26" s="43"/>
      <c r="C26" s="44"/>
      <c r="D26" s="45"/>
      <c r="E26" s="46"/>
      <c r="F26" s="47"/>
      <c r="G26" s="28"/>
      <c r="H26" s="28" t="str">
        <f t="shared" si="4"/>
        <v/>
      </c>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s="29" customFormat="1" ht="30" customHeight="1" x14ac:dyDescent="0.25">
      <c r="A27" s="1"/>
      <c r="B27" s="48"/>
      <c r="C27" s="49"/>
      <c r="D27" s="50"/>
      <c r="E27" s="51"/>
      <c r="F27" s="51"/>
      <c r="G27" s="28"/>
      <c r="H27" s="28" t="str">
        <f t="shared" si="4"/>
        <v/>
      </c>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s="29" customFormat="1" ht="30" customHeight="1" x14ac:dyDescent="0.25">
      <c r="A28" s="1"/>
      <c r="B28" s="48"/>
      <c r="C28" s="49"/>
      <c r="D28" s="50"/>
      <c r="E28" s="51"/>
      <c r="F28" s="51"/>
      <c r="G28" s="28"/>
      <c r="H28" s="28" t="str">
        <f t="shared" si="4"/>
        <v/>
      </c>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s="29" customFormat="1" ht="30" customHeight="1" x14ac:dyDescent="0.25">
      <c r="A29" s="1"/>
      <c r="B29" s="48"/>
      <c r="C29" s="49"/>
      <c r="D29" s="50"/>
      <c r="E29" s="51"/>
      <c r="F29" s="51"/>
      <c r="G29" s="28"/>
      <c r="H29" s="28" t="str">
        <f t="shared" si="4"/>
        <v/>
      </c>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s="29" customFormat="1" ht="30" customHeight="1" x14ac:dyDescent="0.25">
      <c r="A30" s="1"/>
      <c r="B30" s="48"/>
      <c r="C30" s="49"/>
      <c r="D30" s="50"/>
      <c r="E30" s="51"/>
      <c r="F30" s="51"/>
      <c r="G30" s="28"/>
      <c r="H30" s="28" t="str">
        <f t="shared" si="4"/>
        <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s="29" customFormat="1" ht="30" customHeight="1" x14ac:dyDescent="0.25">
      <c r="A31" s="1"/>
      <c r="B31" s="48"/>
      <c r="C31" s="49"/>
      <c r="D31" s="50"/>
      <c r="E31" s="51"/>
      <c r="F31" s="51"/>
      <c r="G31" s="28"/>
      <c r="H31" s="28" t="str">
        <f t="shared" si="4"/>
        <v/>
      </c>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s="29" customFormat="1" ht="30" customHeight="1" x14ac:dyDescent="0.25">
      <c r="A32" s="1" t="s">
        <v>44</v>
      </c>
      <c r="B32" s="52"/>
      <c r="C32" s="53"/>
      <c r="D32" s="54"/>
      <c r="E32" s="55"/>
      <c r="F32" s="55"/>
      <c r="G32" s="28"/>
      <c r="H32" s="28" t="str">
        <f t="shared" si="4"/>
        <v/>
      </c>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1:64" s="29" customFormat="1" ht="30" customHeight="1" x14ac:dyDescent="0.25">
      <c r="A33" s="3" t="s">
        <v>45</v>
      </c>
      <c r="B33" s="56"/>
      <c r="C33" s="57"/>
      <c r="D33" s="58"/>
      <c r="E33" s="59"/>
      <c r="F33" s="60"/>
      <c r="G33" s="61"/>
      <c r="H33" s="61" t="str">
        <f t="shared" si="4"/>
        <v/>
      </c>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row>
    <row r="34" spans="1:64" ht="30" customHeight="1" x14ac:dyDescent="0.25">
      <c r="G34" s="63"/>
    </row>
    <row r="35" spans="1:64" ht="30" customHeight="1" x14ac:dyDescent="0.25">
      <c r="C35" s="64"/>
      <c r="F35" s="65"/>
    </row>
    <row r="36" spans="1:64" ht="30" customHeight="1" x14ac:dyDescent="0.25">
      <c r="C36" s="66"/>
    </row>
  </sheetData>
  <mergeCells count="11">
    <mergeCell ref="AY4:BE4"/>
    <mergeCell ref="I4:O4"/>
    <mergeCell ref="BF4:BL4"/>
    <mergeCell ref="C3:D3"/>
    <mergeCell ref="E3:F3"/>
    <mergeCell ref="C4:D4"/>
    <mergeCell ref="AK4:AQ4"/>
    <mergeCell ref="W4:AC4"/>
    <mergeCell ref="AD4:AJ4"/>
    <mergeCell ref="AR4:AX4"/>
    <mergeCell ref="P4:V4"/>
  </mergeCells>
  <conditionalFormatting sqref="D7:D33">
    <cfRule type="dataBar" priority="2">
      <dataBar>
        <cfvo type="num" val="0"/>
        <cfvo type="num" val="1"/>
        <color rgb="FFBFBFBF"/>
      </dataBar>
    </cfRule>
  </conditionalFormatting>
  <conditionalFormatting sqref="I5:BL33">
    <cfRule type="expression" dxfId="2" priority="5">
      <formula>AND(TODAY()&gt;=I$5,TODAY()&lt;J$5)</formula>
    </cfRule>
  </conditionalFormatting>
  <conditionalFormatting sqref="I7:BL33">
    <cfRule type="expression" dxfId="1" priority="3">
      <formula>AND(task_start&lt;=I$5,ROUNDDOWN((task_end-task_start+1)*task_progress,0)+task_start-1&gt;=I$5)</formula>
    </cfRule>
    <cfRule type="expression" dxfId="0" priority="4">
      <formula>AND(task_end&gt;=I$5,task_start&lt;J$5)</formula>
    </cfRule>
  </conditionalFormatting>
  <dataValidations count="1">
    <dataValidation type="whole" operator="greaterThanOrEqual" showInputMessage="1" promptTitle="Mostrar semana" prompt="Al cambiar este número, se desplazará la vista del diagrama de Gantt." sqref="E4" xr:uid="{00000000-0002-0000-0000-000000000000}">
      <formula1>1</formula1>
      <formula2>0</formula2>
    </dataValidation>
  </dataValidations>
  <hyperlinks>
    <hyperlink ref="I1" r:id="rId1" xr:uid="{00000000-0004-0000-0000-000000000000}"/>
    <hyperlink ref="I2" r:id="rId2" xr:uid="{00000000-0004-0000-0000-000001000000}"/>
  </hyperlinks>
  <printOptions horizontalCentered="1"/>
  <pageMargins left="0.35" right="0.35" top="0.35" bottom="0.34722222222222199" header="0.511811023622047" footer="0.3"/>
  <pageSetup paperSize="9" fitToHeight="0" orientation="landscape" horizontalDpi="300" verticalDpi="300"/>
  <headerFooter differentFirs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67" customWidth="1"/>
    <col min="2" max="2" width="9.140625" style="6" customWidth="1"/>
    <col min="3" max="16384" width="9.140625" style="6"/>
  </cols>
  <sheetData>
    <row r="1" spans="1:2" ht="46.5" customHeight="1" x14ac:dyDescent="0.2"/>
    <row r="2" spans="1:2" s="69" customFormat="1" ht="15" customHeight="1" x14ac:dyDescent="0.25">
      <c r="A2" s="68" t="s">
        <v>2</v>
      </c>
      <c r="B2" s="68"/>
    </row>
    <row r="3" spans="1:2" s="72" customFormat="1" ht="27" customHeight="1" x14ac:dyDescent="0.25">
      <c r="A3" s="70" t="s">
        <v>5</v>
      </c>
      <c r="B3" s="71"/>
    </row>
    <row r="4" spans="1:2" s="74" customFormat="1" ht="25.5" customHeight="1" x14ac:dyDescent="0.4">
      <c r="A4" s="73" t="s">
        <v>46</v>
      </c>
    </row>
    <row r="5" spans="1:2" ht="73.5" customHeight="1" x14ac:dyDescent="0.2">
      <c r="A5" s="75" t="s">
        <v>47</v>
      </c>
    </row>
    <row r="6" spans="1:2" ht="26.25" customHeight="1" x14ac:dyDescent="0.2">
      <c r="A6" s="73" t="s">
        <v>48</v>
      </c>
    </row>
    <row r="7" spans="1:2" s="67" customFormat="1" ht="215.25" customHeight="1" x14ac:dyDescent="0.25">
      <c r="A7" s="76" t="s">
        <v>49</v>
      </c>
    </row>
    <row r="8" spans="1:2" s="74" customFormat="1" ht="25.5" customHeight="1" x14ac:dyDescent="0.4">
      <c r="A8" s="73" t="s">
        <v>50</v>
      </c>
    </row>
    <row r="9" spans="1:2" ht="57" customHeight="1" x14ac:dyDescent="0.2">
      <c r="A9" s="75" t="s">
        <v>51</v>
      </c>
    </row>
    <row r="10" spans="1:2" s="67" customFormat="1" ht="27.75" customHeight="1" x14ac:dyDescent="0.25">
      <c r="A10" s="77" t="s">
        <v>52</v>
      </c>
    </row>
    <row r="11" spans="1:2" s="74" customFormat="1" ht="25.5" customHeight="1" x14ac:dyDescent="0.4">
      <c r="A11" s="73" t="s">
        <v>53</v>
      </c>
    </row>
    <row r="12" spans="1:2" ht="28.5" customHeight="1" x14ac:dyDescent="0.2">
      <c r="A12" s="75" t="s">
        <v>54</v>
      </c>
    </row>
    <row r="13" spans="1:2" s="67" customFormat="1" ht="27.75" customHeight="1" x14ac:dyDescent="0.25">
      <c r="A13" s="77" t="s">
        <v>55</v>
      </c>
    </row>
    <row r="14" spans="1:2" s="74" customFormat="1" ht="25.5" customHeight="1" x14ac:dyDescent="0.4">
      <c r="A14" s="73" t="s">
        <v>56</v>
      </c>
    </row>
    <row r="15" spans="1:2" ht="96.75" customHeight="1" x14ac:dyDescent="0.2">
      <c r="A15" s="75" t="s">
        <v>57</v>
      </c>
    </row>
    <row r="16" spans="1:2" ht="86.25" customHeight="1" x14ac:dyDescent="0.2">
      <c r="A16" s="75" t="s">
        <v>58</v>
      </c>
    </row>
  </sheetData>
  <hyperlinks>
    <hyperlink ref="A2" r:id="rId1" xr:uid="{00000000-0004-0000-0100-000000000000}"/>
    <hyperlink ref="A3" r:id="rId2" xr:uid="{00000000-0004-0000-0100-000001000000}"/>
    <hyperlink ref="A10" r:id="rId3" xr:uid="{00000000-0004-0000-0100-000002000000}"/>
    <hyperlink ref="A13" r:id="rId4" xr:uid="{00000000-0004-0000-0100-000003000000}"/>
  </hyperlinks>
  <pageMargins left="0.5" right="0.5" top="0.5" bottom="0.5" header="0.511811023622047" footer="0.511811023622047"/>
  <pageSetup paperSize="9"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ISAAC AVENDANO CAMPOS</cp:lastModifiedBy>
  <cp:revision>0</cp:revision>
  <dcterms:created xsi:type="dcterms:W3CDTF">2021-12-14T20:18:50Z</dcterms:created>
  <dcterms:modified xsi:type="dcterms:W3CDTF">2026-04-16T02:37:37Z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